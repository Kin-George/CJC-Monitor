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rge\Documents\Trabajo-Profesional\Javeriana\Outputs\tables\"/>
    </mc:Choice>
  </mc:AlternateContent>
  <xr:revisionPtr revIDLastSave="0" documentId="13_ncr:1_{38B1E167-FB69-451D-928F-F0666FEDA9F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iiu2d" sheetId="1" r:id="rId1"/>
    <sheet name="ciiu3d" sheetId="2" r:id="rId2"/>
  </sheets>
  <definedNames>
    <definedName name="_xlnm._FilterDatabase" localSheetId="0" hidden="1">ciiu2d!$A$1:$J$89</definedName>
    <definedName name="_xlnm._FilterDatabase" localSheetId="1" hidden="1">ciiu3d!$A$1:$H$239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0" i="1" l="1"/>
  <c r="C90" i="1"/>
  <c r="D55" i="1" s="1"/>
  <c r="J87" i="1"/>
  <c r="J44" i="1"/>
  <c r="J84" i="1"/>
  <c r="J86" i="1"/>
  <c r="J46" i="1"/>
  <c r="J6" i="1"/>
  <c r="J73" i="1"/>
  <c r="J65" i="1"/>
  <c r="J43" i="1"/>
  <c r="J29" i="1"/>
  <c r="J15" i="1"/>
  <c r="J48" i="1"/>
  <c r="J10" i="1"/>
  <c r="J34" i="1"/>
  <c r="J72" i="1"/>
  <c r="J41" i="1"/>
  <c r="J85" i="1"/>
  <c r="J31" i="1"/>
  <c r="J77" i="1"/>
  <c r="J69" i="1"/>
  <c r="J24" i="1"/>
  <c r="J47" i="1"/>
  <c r="J42" i="1"/>
  <c r="J75" i="1"/>
  <c r="J5" i="1"/>
  <c r="J13" i="1"/>
  <c r="J52" i="1"/>
  <c r="J63" i="1"/>
  <c r="J9" i="1"/>
  <c r="J11" i="1"/>
  <c r="J71" i="1"/>
  <c r="J30" i="1"/>
  <c r="J66" i="1"/>
  <c r="J7" i="1"/>
  <c r="J61" i="1"/>
  <c r="J16" i="1"/>
  <c r="J22" i="1"/>
  <c r="J49" i="1"/>
  <c r="J19" i="1"/>
  <c r="J76" i="1"/>
  <c r="J27" i="1"/>
  <c r="J28" i="1"/>
  <c r="J40" i="1"/>
  <c r="J14" i="1"/>
  <c r="J54" i="1"/>
  <c r="J23" i="1"/>
  <c r="J37" i="1"/>
  <c r="J79" i="1"/>
  <c r="J57" i="1"/>
  <c r="J64" i="1"/>
  <c r="J36" i="1"/>
  <c r="J8" i="1"/>
  <c r="J45" i="1"/>
  <c r="J20" i="1"/>
  <c r="J32" i="1"/>
  <c r="J88" i="1"/>
  <c r="J18" i="1"/>
  <c r="J51" i="1"/>
  <c r="J62" i="1"/>
  <c r="J4" i="1"/>
  <c r="J81" i="1"/>
  <c r="J68" i="1"/>
  <c r="J82" i="1"/>
  <c r="J83" i="1"/>
  <c r="J26" i="1"/>
  <c r="J33" i="1"/>
  <c r="J39" i="1"/>
  <c r="J50" i="1"/>
  <c r="J2" i="1"/>
  <c r="J25" i="1"/>
  <c r="J21" i="1"/>
  <c r="J80" i="1"/>
  <c r="J35" i="1"/>
  <c r="J38" i="1"/>
  <c r="J12" i="1"/>
  <c r="J3" i="1"/>
  <c r="J56" i="1"/>
  <c r="J70" i="1"/>
  <c r="J60" i="1"/>
  <c r="J53" i="1"/>
  <c r="J59" i="1"/>
  <c r="J67" i="1"/>
  <c r="J58" i="1"/>
  <c r="J74" i="1"/>
  <c r="J17" i="1"/>
  <c r="J55" i="1"/>
  <c r="J78" i="1"/>
  <c r="J89" i="1"/>
  <c r="G6" i="1"/>
  <c r="G81" i="1"/>
  <c r="G84" i="1"/>
  <c r="G36" i="1"/>
  <c r="G55" i="1"/>
  <c r="G48" i="1"/>
  <c r="G73" i="1"/>
  <c r="G67" i="1"/>
  <c r="G7" i="1"/>
  <c r="G37" i="1"/>
  <c r="G86" i="1"/>
  <c r="G52" i="1"/>
  <c r="G15" i="1"/>
  <c r="G46" i="1"/>
  <c r="G77" i="1"/>
  <c r="G50" i="1"/>
  <c r="G69" i="1"/>
  <c r="G79" i="1"/>
  <c r="G28" i="1"/>
  <c r="G39" i="1"/>
  <c r="G22" i="1"/>
  <c r="G32" i="1"/>
  <c r="G66" i="1"/>
  <c r="G30" i="1"/>
  <c r="G80" i="1"/>
  <c r="G57" i="1"/>
  <c r="G64" i="1"/>
  <c r="G61" i="1"/>
  <c r="G75" i="1"/>
  <c r="G47" i="1"/>
  <c r="G54" i="1"/>
  <c r="G49" i="1"/>
  <c r="G26" i="1"/>
  <c r="G40" i="1"/>
  <c r="G87" i="1"/>
  <c r="G41" i="1"/>
  <c r="G85" i="1"/>
  <c r="G13" i="1"/>
  <c r="G14" i="1"/>
  <c r="G27" i="1"/>
  <c r="G19" i="1"/>
  <c r="G8" i="1"/>
  <c r="G5" i="1"/>
  <c r="G9" i="1"/>
  <c r="G83" i="1"/>
  <c r="G53" i="1"/>
  <c r="G23" i="1"/>
  <c r="G34" i="1"/>
  <c r="G31" i="1"/>
  <c r="G10" i="1"/>
  <c r="G58" i="1"/>
  <c r="G68" i="1"/>
  <c r="G60" i="1"/>
  <c r="G20" i="1"/>
  <c r="G17" i="1"/>
  <c r="G70" i="1"/>
  <c r="G12" i="1"/>
  <c r="G21" i="1"/>
  <c r="G59" i="1"/>
  <c r="G16" i="1"/>
  <c r="G33" i="1"/>
  <c r="G35" i="1"/>
  <c r="G25" i="1"/>
  <c r="G74" i="1"/>
  <c r="G38" i="1"/>
  <c r="G56" i="1"/>
  <c r="G76" i="1"/>
  <c r="G63" i="1"/>
  <c r="G51" i="1"/>
  <c r="G62" i="1"/>
  <c r="G24" i="1"/>
  <c r="G43" i="1"/>
  <c r="G11" i="1"/>
  <c r="G3" i="1"/>
  <c r="G2" i="1"/>
  <c r="G4" i="1"/>
  <c r="G65" i="1"/>
  <c r="G29" i="1"/>
  <c r="G82" i="1"/>
  <c r="G71" i="1"/>
  <c r="G44" i="1"/>
  <c r="G45" i="1"/>
  <c r="G18" i="1"/>
  <c r="G72" i="1"/>
  <c r="G42" i="1"/>
  <c r="G89" i="1"/>
  <c r="G78" i="1"/>
  <c r="G88" i="1"/>
  <c r="D38" i="1" l="1"/>
  <c r="D59" i="1"/>
  <c r="D70" i="1"/>
  <c r="D5" i="1"/>
  <c r="D79" i="1"/>
  <c r="D57" i="1"/>
  <c r="D47" i="1"/>
  <c r="D37" i="1"/>
  <c r="D77" i="1"/>
  <c r="D22" i="1"/>
  <c r="D80" i="1"/>
  <c r="D28" i="1"/>
  <c r="D49" i="1"/>
  <c r="D41" i="1"/>
  <c r="D44" i="1"/>
  <c r="D13" i="1"/>
  <c r="D27" i="1"/>
  <c r="D61" i="1"/>
  <c r="D62" i="1"/>
  <c r="D34" i="1"/>
  <c r="D87" i="1"/>
  <c r="D54" i="1"/>
  <c r="D19" i="1"/>
  <c r="D66" i="1"/>
  <c r="D56" i="1"/>
  <c r="D67" i="1"/>
  <c r="D3" i="1"/>
  <c r="D73" i="1"/>
  <c r="D33" i="1"/>
  <c r="D30" i="1"/>
  <c r="D39" i="1"/>
  <c r="D46" i="1"/>
  <c r="D23" i="1"/>
  <c r="D40" i="1"/>
  <c r="D85" i="1"/>
  <c r="D84" i="1"/>
  <c r="D11" i="1"/>
  <c r="D83" i="1"/>
  <c r="D10" i="1"/>
  <c r="D89" i="1"/>
  <c r="D50" i="1"/>
  <c r="D9" i="1"/>
  <c r="D26" i="1"/>
  <c r="D35" i="1"/>
  <c r="D48" i="1"/>
  <c r="D31" i="1"/>
  <c r="D32" i="1"/>
  <c r="D63" i="1"/>
  <c r="D82" i="1"/>
  <c r="D25" i="1"/>
  <c r="D2" i="1"/>
  <c r="D88" i="1"/>
  <c r="D58" i="1"/>
  <c r="D15" i="1"/>
  <c r="D16" i="1"/>
  <c r="D20" i="1"/>
  <c r="D24" i="1"/>
  <c r="D68" i="1"/>
  <c r="D29" i="1"/>
  <c r="D51" i="1"/>
  <c r="D43" i="1"/>
  <c r="D18" i="1"/>
  <c r="D17" i="1"/>
  <c r="D42" i="1"/>
  <c r="D76" i="1"/>
  <c r="D6" i="1"/>
  <c r="D14" i="1"/>
  <c r="D4" i="1"/>
  <c r="D78" i="1"/>
  <c r="D7" i="1"/>
  <c r="D45" i="1"/>
  <c r="D69" i="1"/>
  <c r="D53" i="1"/>
  <c r="D86" i="1"/>
  <c r="D71" i="1"/>
  <c r="D8" i="1"/>
  <c r="D72" i="1"/>
  <c r="D12" i="1"/>
  <c r="D81" i="1"/>
  <c r="D65" i="1"/>
  <c r="D52" i="1"/>
  <c r="D36" i="1"/>
  <c r="D75" i="1"/>
  <c r="D64" i="1"/>
  <c r="D21" i="1"/>
  <c r="D74" i="1"/>
</calcChain>
</file>

<file path=xl/sharedStrings.xml><?xml version="1.0" encoding="utf-8"?>
<sst xmlns="http://schemas.openxmlformats.org/spreadsheetml/2006/main" count="580" uniqueCount="559">
  <si>
    <t>RAMA2D_R4</t>
  </si>
  <si>
    <t>Nombre_sector_2d</t>
  </si>
  <si>
    <t>trabajadores</t>
  </si>
  <si>
    <t>total_inglabo_anual</t>
  </si>
  <si>
    <t>ingreso_anual_por_trabajador</t>
  </si>
  <si>
    <t>mean_inglabo_anual</t>
  </si>
  <si>
    <t>median_inglabo_anual</t>
  </si>
  <si>
    <t>Agricultura, ganadería, caza y actividades de servicios conexas</t>
  </si>
  <si>
    <t>Silvicultura y extracción de madera</t>
  </si>
  <si>
    <t>Pesca y acuicultura</t>
  </si>
  <si>
    <t>Extracción de carbón de piedra y lignito</t>
  </si>
  <si>
    <t>Extracción de petróleo crudo y gas natural</t>
  </si>
  <si>
    <t>Extracción de minerales metalíferos</t>
  </si>
  <si>
    <t>Extracción de otras minas y canteras</t>
  </si>
  <si>
    <t>Actividades de servicios de apoyo para la explotación de minas y canteras</t>
  </si>
  <si>
    <t>Elaboración de productos alimenticios</t>
  </si>
  <si>
    <t>Elaboración de bebidas</t>
  </si>
  <si>
    <t>Elaboración de productos de tabaco</t>
  </si>
  <si>
    <t>Fabricación de productos textiles</t>
  </si>
  <si>
    <t>Confección de prendas de vestir</t>
  </si>
  <si>
    <t>Curtido y recurtido de cueros; fabricación de calzado; fabricación de artículos de viaje, maletas, bolsos de mano y artículos similares, y fabricación de artículos de talabartería y guarnicionería; adobo y teñido de pieles</t>
  </si>
  <si>
    <t>Transformación de la madera y fabricación de productos de madera y de corcho, excepto muebles; fabricación de artículos de cestería y espartería</t>
  </si>
  <si>
    <t>Fabricación de papel, cartón y productos de papel y cartón</t>
  </si>
  <si>
    <t>Actividades de impresión y de producción de copias a partir de grabaciones originales</t>
  </si>
  <si>
    <t>Coquización, fabricación de productos de la refinación del petróleo y actividad de mezcla de combustibles</t>
  </si>
  <si>
    <t>Fabricación de sustancias y productos químicos</t>
  </si>
  <si>
    <t>Fabricación de productos farmacéuticos, sustancias químicas medicinales y productos botánicos de uso farmacéutico</t>
  </si>
  <si>
    <t>Fabricación de productos de caucho y de plástico</t>
  </si>
  <si>
    <t>Fabricación de otros productos minerales no metálicos</t>
  </si>
  <si>
    <t>Fabricación de productos metalúrgicos básicos</t>
  </si>
  <si>
    <t>Fabricación de productos elaborados de metal, excepto maquinaria y equipo</t>
  </si>
  <si>
    <t>Fabricación de productos informáticos, electrónicos y ópticos</t>
  </si>
  <si>
    <t>Fabricación de aparatos y equipo eléctrico</t>
  </si>
  <si>
    <t>Fabricación de maquinaria y equipo n.c.p.</t>
  </si>
  <si>
    <t>Fabricación de vehículos automotores, remolques y semirremolques</t>
  </si>
  <si>
    <t>Fabricación de otros tipos de equipo de transporte</t>
  </si>
  <si>
    <t>Fabricación de muebles, colchones y somieres</t>
  </si>
  <si>
    <t>Otras industrias manufactureras</t>
  </si>
  <si>
    <t>Instalación, mantenimiento y reparación especializado de maquinaria y equipo</t>
  </si>
  <si>
    <t>Suministro de electricidad, gas, vapor y aire acondicionado</t>
  </si>
  <si>
    <t>Captación, tratamiento y distribución de agua</t>
  </si>
  <si>
    <t>Evacuación y tratamiento de aguas residuales</t>
  </si>
  <si>
    <t>Recolección, tratamiento y disposición de desechos, recuperación de materiales</t>
  </si>
  <si>
    <t>Actividades de saneamiento ambiental y otros servicios de gestión de desechos</t>
  </si>
  <si>
    <t>Construcción de edificios</t>
  </si>
  <si>
    <t>Obras de ingeniería civil</t>
  </si>
  <si>
    <t>Actividades especializadas para la construcción de edificios y obras de ingeniería civil</t>
  </si>
  <si>
    <t>Comercio, mantenimiento y reparación de vehículos automotores y motocicletas, sus partes, piezas y accesorios</t>
  </si>
  <si>
    <t>Comercio al por mayor y en comisión o por contrata, excepto el comercio de vehículos automotores y motocicletas</t>
  </si>
  <si>
    <t>Comercio al por menor (incluso el comercio al por menor de combustibles), excepto el de vehículos automotores y motocicletas</t>
  </si>
  <si>
    <t>Transporte terrestre; transporte por tuberías</t>
  </si>
  <si>
    <t>Transporte acuático</t>
  </si>
  <si>
    <t>Transporte aéreo</t>
  </si>
  <si>
    <t>Almacenamiento y actividades complementarias al transporte</t>
  </si>
  <si>
    <t>Correo y servicios de mensajería</t>
  </si>
  <si>
    <t>Alojamiento</t>
  </si>
  <si>
    <t>Actividades de servicios de comidas y bebidas</t>
  </si>
  <si>
    <t>Actividades de edición</t>
  </si>
  <si>
    <t>Actividades cinematográficas, de video y producción de programas de televisión, grabación de sonido y edición de música</t>
  </si>
  <si>
    <t>Actividades de programación, transmisión y/o difusión</t>
  </si>
  <si>
    <t>Telecomunicaciones</t>
  </si>
  <si>
    <t>Desarrollo de sistemas informáticos (planificación, análisis, diseño, programación, pruebas), consultoría informática y actividades relacionadas</t>
  </si>
  <si>
    <t>Actividades de servicios de información</t>
  </si>
  <si>
    <t>Actividades de servicios financieros, excepto las de seguros y de pensiones</t>
  </si>
  <si>
    <t>Seguros (incluso el reaseguro), seguros sociales y fondos de pensiones, excepto la seguridad social</t>
  </si>
  <si>
    <t>Actividades auxiliares de las actividades de servicios financieros</t>
  </si>
  <si>
    <t>Actividades inmobiliarias</t>
  </si>
  <si>
    <t>Actividades jurídicas y de contabilidad</t>
  </si>
  <si>
    <t>Actividades de administración empresarial; actividades de consultoría de gestión</t>
  </si>
  <si>
    <t>Actividades de arquitectura e ingeniería; ensayos y análisis técnicos</t>
  </si>
  <si>
    <t>Investigación científica y desarrollo</t>
  </si>
  <si>
    <t>Publicidad y estudios de mercado</t>
  </si>
  <si>
    <t>Otras actividades profesionales, científicas y técnicas</t>
  </si>
  <si>
    <t>Actividades veterinarias</t>
  </si>
  <si>
    <t>Actividades de alquiler y arrendamiento</t>
  </si>
  <si>
    <t>Actividades de empleo</t>
  </si>
  <si>
    <t>Actividades de las agencias de viajes, operadores turísticos, servicios de reserva y actividades relacionadas</t>
  </si>
  <si>
    <t>Actividades de seguridad e investigación privada</t>
  </si>
  <si>
    <t>Actividades de servicios a edificios y paisajismo (jardines, zonas verdes)</t>
  </si>
  <si>
    <t>Actividades administrativas y de apoyo de oficina y otras actividades de apoyo a las empresas</t>
  </si>
  <si>
    <t>Administración pública y defensa; planes de seguridad social de afiliación obligatoria</t>
  </si>
  <si>
    <t>Educación</t>
  </si>
  <si>
    <t>Actividades de atención de la salud humana</t>
  </si>
  <si>
    <t>Actividades de atención residencial medicalizada</t>
  </si>
  <si>
    <t>Actividades de asistencia social sin alojamiento</t>
  </si>
  <si>
    <t>Actividades creativas, artísticas y de entretenimiento</t>
  </si>
  <si>
    <t>Actividades de bibliotecas, archivos, museos y otras actividades culturales</t>
  </si>
  <si>
    <t>Actividades de juegos de azar y apuestas</t>
  </si>
  <si>
    <t>Actividades deportivas y actividades recreativas y de esparcimiento</t>
  </si>
  <si>
    <t>Actividades de asociaciones</t>
  </si>
  <si>
    <t>Mantenimiento y reparación de computadores, efectos personales y enseres domésticos</t>
  </si>
  <si>
    <t>Otras actividades de servicios personales</t>
  </si>
  <si>
    <t>Actividades de los hogares individuales como empleadores de personal doméstico</t>
  </si>
  <si>
    <t>Actividades de organizaciones y entidades extraterritoriales</t>
  </si>
  <si>
    <t>RAMA3D_R4</t>
  </si>
  <si>
    <t>RAMA3D_R4_chr</t>
  </si>
  <si>
    <t>Nombre_sector_3d</t>
  </si>
  <si>
    <t>000</t>
  </si>
  <si>
    <t>011</t>
  </si>
  <si>
    <t>Cultivos agrícolas transitorios</t>
  </si>
  <si>
    <t>012</t>
  </si>
  <si>
    <t>Cultivos agrícolas permanentes</t>
  </si>
  <si>
    <t>013</t>
  </si>
  <si>
    <t>Propagación de plantas (actividades de los viveros, excepto viveros forestales)</t>
  </si>
  <si>
    <t>014</t>
  </si>
  <si>
    <t>Ganadería</t>
  </si>
  <si>
    <t>015</t>
  </si>
  <si>
    <t>Explotación mixta (agrícola y pecuaria)</t>
  </si>
  <si>
    <t>016</t>
  </si>
  <si>
    <t>Actividades de apoyo a la agricultura y la ganadería, y actividades posteriores a la cosecha</t>
  </si>
  <si>
    <t>021</t>
  </si>
  <si>
    <t>Silvicultura y otras actividades forestales</t>
  </si>
  <si>
    <t>022</t>
  </si>
  <si>
    <t>Extracción de madera</t>
  </si>
  <si>
    <t>024</t>
  </si>
  <si>
    <t>Servicios de apoyo a la silvicultura</t>
  </si>
  <si>
    <t>031</t>
  </si>
  <si>
    <t>Pesca</t>
  </si>
  <si>
    <t>032</t>
  </si>
  <si>
    <t>Acuicultura</t>
  </si>
  <si>
    <t>051</t>
  </si>
  <si>
    <t>Extracción de hulla (carbón de piedra)</t>
  </si>
  <si>
    <t>052</t>
  </si>
  <si>
    <t>Extracción de carbón lignito</t>
  </si>
  <si>
    <t>061</t>
  </si>
  <si>
    <t>Extracción de petróleo crudo</t>
  </si>
  <si>
    <t>062</t>
  </si>
  <si>
    <t>Extracción de gas natural</t>
  </si>
  <si>
    <t>071</t>
  </si>
  <si>
    <t>Extracción de minerales de hierro</t>
  </si>
  <si>
    <t>072</t>
  </si>
  <si>
    <t>Extracción de minerales metalíferos no ferrosos</t>
  </si>
  <si>
    <t>081</t>
  </si>
  <si>
    <t>Extracción de piedra, arena, arcillas, cal, yeso, caolín, bentonitas y similares</t>
  </si>
  <si>
    <t>082</t>
  </si>
  <si>
    <t>Extracción de esmeraldas, piedras preciosas y semipreciosas</t>
  </si>
  <si>
    <t>089</t>
  </si>
  <si>
    <t>Extracción de otros minerales no metálicos n.c.p.</t>
  </si>
  <si>
    <t>091</t>
  </si>
  <si>
    <t>Actividades de apoyo para la extracción de petróleo y de gas natural</t>
  </si>
  <si>
    <t>099</t>
  </si>
  <si>
    <t>Actividades de apoyo para otras actividades de explotación de minas y canteras</t>
  </si>
  <si>
    <t>101</t>
  </si>
  <si>
    <t>Procesamiento y conservación de carne, pescado, crustáceos y moluscos</t>
  </si>
  <si>
    <t>102</t>
  </si>
  <si>
    <t>Procesamiento y conservación de frutas, legumbres, hortalizas y tubérculos</t>
  </si>
  <si>
    <t>103</t>
  </si>
  <si>
    <t>Elaboración de aceites y grasas de origen vegetal y animal</t>
  </si>
  <si>
    <t>104</t>
  </si>
  <si>
    <t>Elaboración de productos lácteos</t>
  </si>
  <si>
    <t>105</t>
  </si>
  <si>
    <t>Elaboración de productos de molinería, almidones y productos derivados del almidón</t>
  </si>
  <si>
    <t>106</t>
  </si>
  <si>
    <t>Elaboración de productos de café</t>
  </si>
  <si>
    <t>107</t>
  </si>
  <si>
    <t>Elaboración de azúcar y panela</t>
  </si>
  <si>
    <t>108</t>
  </si>
  <si>
    <t>Elaboración de otros productos alimenticios</t>
  </si>
  <si>
    <t>109</t>
  </si>
  <si>
    <t>Elaboración de alimentos preparados para animales</t>
  </si>
  <si>
    <t>110</t>
  </si>
  <si>
    <t>120</t>
  </si>
  <si>
    <t>131</t>
  </si>
  <si>
    <t>Preparación, hilatura, tejeduría y acabado de productos textiles</t>
  </si>
  <si>
    <t>139</t>
  </si>
  <si>
    <t>Fabricación de otros productos textiles</t>
  </si>
  <si>
    <t>141</t>
  </si>
  <si>
    <t>Confección de prendas de vestir, excepto prendas de piel</t>
  </si>
  <si>
    <t>142</t>
  </si>
  <si>
    <t>Fabricación de artículos de piel</t>
  </si>
  <si>
    <t>143</t>
  </si>
  <si>
    <t>Fabricación de artículos de punto y ganchillo</t>
  </si>
  <si>
    <t>151</t>
  </si>
  <si>
    <t>Curtido y recurtido de cueros; fabricación de artículos de viaje, bolsos de mano y artículos similares, y fabricación de artículos de talabartería y guarnicionería; adobo y teñido de pieles</t>
  </si>
  <si>
    <t>152</t>
  </si>
  <si>
    <t>Fabricación de calzado</t>
  </si>
  <si>
    <t>161</t>
  </si>
  <si>
    <t>Aserrado, acepillado e impregnación de la madera</t>
  </si>
  <si>
    <t>162</t>
  </si>
  <si>
    <t>Fabricación de hojas de madera para enchapado; fabricación de tableros contrachapados, tableros laminados, tableros de partículas y otros tableros y paneles</t>
  </si>
  <si>
    <t>163</t>
  </si>
  <si>
    <t>Fabricación de partes y piezas de madera, de carpintería y ebanistería para la construcción</t>
  </si>
  <si>
    <t>164</t>
  </si>
  <si>
    <t>Fabricación de recipientes de madera</t>
  </si>
  <si>
    <t>169</t>
  </si>
  <si>
    <t>Fabricación de otros productos de madera; fabricación de artículos de corcho, cestería y espartería</t>
  </si>
  <si>
    <t>170</t>
  </si>
  <si>
    <t>181</t>
  </si>
  <si>
    <t>Actividades de impresión y actividades de servicios relacionados con la impresión</t>
  </si>
  <si>
    <t>191</t>
  </si>
  <si>
    <t>Fabricación de productos de hornos de coque</t>
  </si>
  <si>
    <t>192</t>
  </si>
  <si>
    <t>Fabricación de productos de la refinación del petróleo</t>
  </si>
  <si>
    <t>201</t>
  </si>
  <si>
    <t>Fabricación de sustancias químicas básicas, abonos y compuestos inorgánicos nitrogenados, plásticos y caucho sintético en formas primarias</t>
  </si>
  <si>
    <t>202</t>
  </si>
  <si>
    <t>Fabricación de otros productos químicos</t>
  </si>
  <si>
    <t>203</t>
  </si>
  <si>
    <t>Fabricación de fibras sintéticas y artificiales</t>
  </si>
  <si>
    <t>210</t>
  </si>
  <si>
    <t>221</t>
  </si>
  <si>
    <t>Fabricación de productos de caucho</t>
  </si>
  <si>
    <t>222</t>
  </si>
  <si>
    <t>Fabricación de productos de plástico</t>
  </si>
  <si>
    <t>231</t>
  </si>
  <si>
    <t>Fabricación de vidrio y productos de vidrio</t>
  </si>
  <si>
    <t>239</t>
  </si>
  <si>
    <t>Fabricación de productos minerales no metálicos n.c.p.</t>
  </si>
  <si>
    <t>241</t>
  </si>
  <si>
    <t>Industrias básicas de hierro y de acero</t>
  </si>
  <si>
    <t>242</t>
  </si>
  <si>
    <t>Industrias básicas de metales preciosos y de metales no ferrosos</t>
  </si>
  <si>
    <t>243</t>
  </si>
  <si>
    <t>Fundición de metales</t>
  </si>
  <si>
    <t>251</t>
  </si>
  <si>
    <t>Fabricación de productos metálicos para uso estructural, tanques, depósitos y generadores de vapor</t>
  </si>
  <si>
    <t>252</t>
  </si>
  <si>
    <t>Fabricación de armas y municiones</t>
  </si>
  <si>
    <t>259</t>
  </si>
  <si>
    <t>Fabricación de otros productos elaborados de metal y actividades de servicios relacionadas con el trabajo de metales</t>
  </si>
  <si>
    <t>261</t>
  </si>
  <si>
    <t>Fabricación de componentes y tableros electrónicos</t>
  </si>
  <si>
    <t>262</t>
  </si>
  <si>
    <t>Fabricación de computadoras y de equipo periférico</t>
  </si>
  <si>
    <t>263</t>
  </si>
  <si>
    <t>Fabricación de equipos de comunicación</t>
  </si>
  <si>
    <t>264</t>
  </si>
  <si>
    <t>Fabricación de aparatos electrónicos de consumo</t>
  </si>
  <si>
    <t>265</t>
  </si>
  <si>
    <t>Fabricación de equipo de medición, prueba, navegación y control; fabricación de relojes</t>
  </si>
  <si>
    <t>266</t>
  </si>
  <si>
    <t>Fabricación de equipo de irradiación y equipo electrónico de uso médico y terapéutico</t>
  </si>
  <si>
    <t>267</t>
  </si>
  <si>
    <t>Fabricación de instrumentos ópticos y equipo fotográfico</t>
  </si>
  <si>
    <t>271</t>
  </si>
  <si>
    <t>Fabricación de motores, generadores y transformadores eléctricos y de aparatos de distribución y control de la energía eléctrica</t>
  </si>
  <si>
    <t>272</t>
  </si>
  <si>
    <t>Fabricación de pilas, baterías y acumuladores eléctricos</t>
  </si>
  <si>
    <t>273</t>
  </si>
  <si>
    <t>Fabricación de hilos y cables aislados y sus dispositivos</t>
  </si>
  <si>
    <t>274</t>
  </si>
  <si>
    <t>Fabricación de equipos eléctricos de iluminación</t>
  </si>
  <si>
    <t>275</t>
  </si>
  <si>
    <t>Fabricación de aparatos de uso doméstico</t>
  </si>
  <si>
    <t>279</t>
  </si>
  <si>
    <t>Fabricación de otros tipos de equipo eléctrico n.c.p.</t>
  </si>
  <si>
    <t>281</t>
  </si>
  <si>
    <t>Fabricación de maquinaria y equipo de uso general</t>
  </si>
  <si>
    <t>282</t>
  </si>
  <si>
    <t>Fabricación de maquinaria y equipo de uso especial</t>
  </si>
  <si>
    <t>291</t>
  </si>
  <si>
    <t>Fabricación de vehículos automotores y sus motores</t>
  </si>
  <si>
    <t>292</t>
  </si>
  <si>
    <t>Fabricación de carrocerías para vehículos automotores; fabricación de remolques y semirremolques</t>
  </si>
  <si>
    <t>293</t>
  </si>
  <si>
    <t>Fabricación de partes, piezas (autopartes) y accesorios (lujos) para vehículos automotores</t>
  </si>
  <si>
    <t>301</t>
  </si>
  <si>
    <t>Construcción de barcos y otras embarcaciones</t>
  </si>
  <si>
    <t>302</t>
  </si>
  <si>
    <t>Fabricación de locomotoras y de material rodante para ferrocarriles</t>
  </si>
  <si>
    <t>303</t>
  </si>
  <si>
    <t>Fabricación de aeronaves, naves espaciales y de maquinaria conexa</t>
  </si>
  <si>
    <t>309</t>
  </si>
  <si>
    <t>Fabricación de otros tipos de equipo de transporte n.c.p.</t>
  </si>
  <si>
    <t>311</t>
  </si>
  <si>
    <t>Fabricación de muebles</t>
  </si>
  <si>
    <t>312</t>
  </si>
  <si>
    <t>Fabricación de colchones y somieres</t>
  </si>
  <si>
    <t>321</t>
  </si>
  <si>
    <t>Fabricación de joyas, bisutería y artículos conexos</t>
  </si>
  <si>
    <t>322</t>
  </si>
  <si>
    <t>Fabricación de instrumentos musicales</t>
  </si>
  <si>
    <t>323</t>
  </si>
  <si>
    <t>Fabricación de artículos y equipo para la práctica del deporte</t>
  </si>
  <si>
    <t>324</t>
  </si>
  <si>
    <t>Fabricación de juegos, juguetes y rompecabezas</t>
  </si>
  <si>
    <t>325</t>
  </si>
  <si>
    <t>Fabricación de instrumentos, aparatos y materiales médicos y odontológicos (incluido mobiliario)</t>
  </si>
  <si>
    <t>329</t>
  </si>
  <si>
    <t>Otras industrias manufactureras n.c.p.</t>
  </si>
  <si>
    <t>331</t>
  </si>
  <si>
    <t>Mantenimiento y reparación especializado de productos elaborados en metal y de maquinaria y equipo</t>
  </si>
  <si>
    <t>332</t>
  </si>
  <si>
    <t>Instalación especializada de maquinaria y equipo industrial</t>
  </si>
  <si>
    <t>351</t>
  </si>
  <si>
    <t>Generación, transmisión, distribución y comercialización de energía eléctrica</t>
  </si>
  <si>
    <t>352</t>
  </si>
  <si>
    <t>Producción de gas; distribución de combustibles gaseosos por tuberías</t>
  </si>
  <si>
    <t>353</t>
  </si>
  <si>
    <t>Suministro de vapor y aire acondicionado</t>
  </si>
  <si>
    <t>360</t>
  </si>
  <si>
    <t>370</t>
  </si>
  <si>
    <t>381</t>
  </si>
  <si>
    <t>Recolección de desechos</t>
  </si>
  <si>
    <t>382</t>
  </si>
  <si>
    <t>Tratamiento y disposición de desechos</t>
  </si>
  <si>
    <t>383</t>
  </si>
  <si>
    <t>Recuperación de materiales</t>
  </si>
  <si>
    <t>390</t>
  </si>
  <si>
    <t>411</t>
  </si>
  <si>
    <t>421</t>
  </si>
  <si>
    <t>Construcción de carreteras y vías de ferrocarril</t>
  </si>
  <si>
    <t>422</t>
  </si>
  <si>
    <t>Construcción de proyectos de servicio público</t>
  </si>
  <si>
    <t>429</t>
  </si>
  <si>
    <t>Construcción de otras obras de ingeniería civil</t>
  </si>
  <si>
    <t>431</t>
  </si>
  <si>
    <t>Demolición y preparación del terreno</t>
  </si>
  <si>
    <t>432</t>
  </si>
  <si>
    <t>Instalaciones eléctricas, de fontanería y otras instalaciones especializadas</t>
  </si>
  <si>
    <t>433</t>
  </si>
  <si>
    <t>Terminación y acabado de edificios y obras de ingeniería civil</t>
  </si>
  <si>
    <t>439</t>
  </si>
  <si>
    <t>Otras actividades especializadas para la construcción de edificios y obras de ingeniería civil</t>
  </si>
  <si>
    <t>451</t>
  </si>
  <si>
    <t>Comercio de vehículos automotores</t>
  </si>
  <si>
    <t>452</t>
  </si>
  <si>
    <t>Mantenimiento y reparación de vehículos automotores</t>
  </si>
  <si>
    <t>453</t>
  </si>
  <si>
    <t>Comercio de partes, piezas (autopartes) y accesorios (lujos) para vehículos automotores</t>
  </si>
  <si>
    <t>454</t>
  </si>
  <si>
    <t>Comercio, mantenimiento y reparación de motocicletas y de sus partes, piezas y accesorios</t>
  </si>
  <si>
    <t>461</t>
  </si>
  <si>
    <t>Comercio al por mayor a cambio de una retribución o por contrata</t>
  </si>
  <si>
    <t>462</t>
  </si>
  <si>
    <t>Comercio al por mayor de materias primas agropecuarias; animales vivos</t>
  </si>
  <si>
    <t>463</t>
  </si>
  <si>
    <t>Comercio al por mayor de alimentos, bebidas y tabaco</t>
  </si>
  <si>
    <t>464</t>
  </si>
  <si>
    <t>Comercio al por mayor de artículos y enseres domésticos (incluidas prendas de vestir)</t>
  </si>
  <si>
    <t>465</t>
  </si>
  <si>
    <t>Comercio al por mayor de maquinaria y equipo</t>
  </si>
  <si>
    <t>466</t>
  </si>
  <si>
    <t>Comercio al por mayor especializado de otros productos</t>
  </si>
  <si>
    <t>469</t>
  </si>
  <si>
    <t>Comercio al por mayor no especializado</t>
  </si>
  <si>
    <t>471</t>
  </si>
  <si>
    <t>Comercio al por menor en establecimientos no especializados</t>
  </si>
  <si>
    <t>472</t>
  </si>
  <si>
    <t>Comercio al por menor de alimentos (víveres en general), bebidas y tabaco, en establecimientos especializados</t>
  </si>
  <si>
    <t>473</t>
  </si>
  <si>
    <t>Comercio al por menor de combustible, lubricantes, aditivos y productos de limpieza para automotores, en establecimientos especializados</t>
  </si>
  <si>
    <t>474</t>
  </si>
  <si>
    <t>Comercio al por menor de equipos de informática y de comunicaciones en establecimientos especializados</t>
  </si>
  <si>
    <t>475</t>
  </si>
  <si>
    <t>Comercio al por menor de otros enseres domésticos en establecimientos especializados</t>
  </si>
  <si>
    <t>476</t>
  </si>
  <si>
    <t>Comercio al por menor de artículos culturales y de entretenimiento en establecimientos especializados</t>
  </si>
  <si>
    <t>477</t>
  </si>
  <si>
    <t>Comercio al por menor de otros productos en establecimientos especializados</t>
  </si>
  <si>
    <t>478</t>
  </si>
  <si>
    <t>Comercio al por menor en puestos de venta móviles</t>
  </si>
  <si>
    <t>479</t>
  </si>
  <si>
    <t>Comercio al por menor no realizado en establecimientos, puestos de venta o mercados</t>
  </si>
  <si>
    <t>491</t>
  </si>
  <si>
    <t>Transporte férreo</t>
  </si>
  <si>
    <t>492</t>
  </si>
  <si>
    <t>Transporte terrestre público automotor</t>
  </si>
  <si>
    <t>493</t>
  </si>
  <si>
    <t>Transporte por tuberías</t>
  </si>
  <si>
    <t>501</t>
  </si>
  <si>
    <t>Transporte marítimo y de cabotaje</t>
  </si>
  <si>
    <t>502</t>
  </si>
  <si>
    <t>Transporte fluvial</t>
  </si>
  <si>
    <t>511</t>
  </si>
  <si>
    <t>Transporte aéreo de pasajeros</t>
  </si>
  <si>
    <t>512</t>
  </si>
  <si>
    <t>Transporte aéreo de carga</t>
  </si>
  <si>
    <t>521</t>
  </si>
  <si>
    <t>Almacenamiento y depósito</t>
  </si>
  <si>
    <t>522</t>
  </si>
  <si>
    <t>Actividades de las estaciones, vías y servicios complementarios para el transporte</t>
  </si>
  <si>
    <t>531</t>
  </si>
  <si>
    <t>Actividades postales nacionales</t>
  </si>
  <si>
    <t>532</t>
  </si>
  <si>
    <t>Actividades de mensajería</t>
  </si>
  <si>
    <t>551</t>
  </si>
  <si>
    <t>Actividades de alojamiento de estancias cortas</t>
  </si>
  <si>
    <t>553</t>
  </si>
  <si>
    <t>Servicio de estancia por horas</t>
  </si>
  <si>
    <t>559</t>
  </si>
  <si>
    <t>Otros tipos de alojamiento n.c.p.</t>
  </si>
  <si>
    <t>561</t>
  </si>
  <si>
    <t>Actividades de restaurantes, cafeterías y servicio móvil de comidas</t>
  </si>
  <si>
    <t>562</t>
  </si>
  <si>
    <t>Actividades de catering para eventos y otros servicios de comidas</t>
  </si>
  <si>
    <t>563</t>
  </si>
  <si>
    <t>Expendio de bebidas alcohólicas para el consumo dentro del establecimiento</t>
  </si>
  <si>
    <t>581</t>
  </si>
  <si>
    <t>Edición de libros, publicaciones periódicas y otras actividades de edición</t>
  </si>
  <si>
    <t>582</t>
  </si>
  <si>
    <t>Edición de programas de informática (software)</t>
  </si>
  <si>
    <t>591</t>
  </si>
  <si>
    <t>Actividades de producción de películas cinematográficas, video y producción de programas, anuncios y comerciales de televisión</t>
  </si>
  <si>
    <t>592</t>
  </si>
  <si>
    <t>Actividades de grabación de sonido y edición de música</t>
  </si>
  <si>
    <t>601</t>
  </si>
  <si>
    <t>Actividades de programación y transmisión en el servicio de radiodifusión sonora</t>
  </si>
  <si>
    <t>602</t>
  </si>
  <si>
    <t>Actividades de programación y transmisión de televisión</t>
  </si>
  <si>
    <t>611</t>
  </si>
  <si>
    <t>Actividades de telecomunicaciones alámbricas</t>
  </si>
  <si>
    <t>612</t>
  </si>
  <si>
    <t>Actividades de telecomunicaciones inalámbricas</t>
  </si>
  <si>
    <t>613</t>
  </si>
  <si>
    <t>Actividades de telecomunicación satelital</t>
  </si>
  <si>
    <t>619</t>
  </si>
  <si>
    <t>Otras actividades de telecomunicaciones</t>
  </si>
  <si>
    <t>620</t>
  </si>
  <si>
    <t>631</t>
  </si>
  <si>
    <t>Procesamiento de datos, alojamiento (hosting) y actividades relacionadas; portales web</t>
  </si>
  <si>
    <t>639</t>
  </si>
  <si>
    <t>Otras actividades de servicios de información</t>
  </si>
  <si>
    <t>641</t>
  </si>
  <si>
    <t>Intermediación monetaria</t>
  </si>
  <si>
    <t>642</t>
  </si>
  <si>
    <t>Otros tipos de intermediación monetaria</t>
  </si>
  <si>
    <t>643</t>
  </si>
  <si>
    <t>Fideicomisos, fondos (incluye fondos de cesantías) y entidades financieras similares</t>
  </si>
  <si>
    <t>649</t>
  </si>
  <si>
    <t>Otras actividades de servicio financiero, excepto las de seguros y pensiones</t>
  </si>
  <si>
    <t>651</t>
  </si>
  <si>
    <t>Seguros</t>
  </si>
  <si>
    <t>652</t>
  </si>
  <si>
    <t>Servicios de seguros sociales excepto los de pensiones</t>
  </si>
  <si>
    <t>653</t>
  </si>
  <si>
    <t>Servicios de seguros sociales en pensiones, excepto los programas de seguridad social</t>
  </si>
  <si>
    <t>661</t>
  </si>
  <si>
    <t>Actividades auxiliares de las actividades de servicios financieros, excepto las de seguros y pensiones</t>
  </si>
  <si>
    <t>662</t>
  </si>
  <si>
    <t>Actividades de servicios auxiliares de los servicios de seguros y pensiones</t>
  </si>
  <si>
    <t>663</t>
  </si>
  <si>
    <t>Actividades de administración de fondos</t>
  </si>
  <si>
    <t>681</t>
  </si>
  <si>
    <t>Actividades inmobiliarias realizadas con bienes propios o arrendados</t>
  </si>
  <si>
    <t>682</t>
  </si>
  <si>
    <t>Actividades inmobiliarias realizadas a cambio de una retribución o por contrata</t>
  </si>
  <si>
    <t>691</t>
  </si>
  <si>
    <t>Actividades jurídicas</t>
  </si>
  <si>
    <t>692</t>
  </si>
  <si>
    <t>Actividades de contabilidad, teneduría de libros, auditoría financiera y asesoría tributaria</t>
  </si>
  <si>
    <t>701</t>
  </si>
  <si>
    <t>Actividades de administración empresarial</t>
  </si>
  <si>
    <t>702</t>
  </si>
  <si>
    <t>Actividades de consultoría de gestión</t>
  </si>
  <si>
    <t>711</t>
  </si>
  <si>
    <t>Actividades de arquitectura e ingeniería y otras actividades conexas de consultoría técnica</t>
  </si>
  <si>
    <t>712</t>
  </si>
  <si>
    <t>Ensayos y análisis técnicos</t>
  </si>
  <si>
    <t>721</t>
  </si>
  <si>
    <t>Investigaciones y desarrollo experimental en el campo de las ciencias naturales y la ingeniería</t>
  </si>
  <si>
    <t>722</t>
  </si>
  <si>
    <t>Investigaciones y desarrollo experimental en el campo de las ciencias sociales y las humanidades</t>
  </si>
  <si>
    <t>731</t>
  </si>
  <si>
    <t>Publicidad</t>
  </si>
  <si>
    <t>732</t>
  </si>
  <si>
    <t>Estudios de mercado y realización de encuestas de opinión pública</t>
  </si>
  <si>
    <t>741</t>
  </si>
  <si>
    <t>Actividades especializadas de diseño</t>
  </si>
  <si>
    <t>742</t>
  </si>
  <si>
    <t>Actividades de fotografía</t>
  </si>
  <si>
    <t>749</t>
  </si>
  <si>
    <t>Otras actividades profesionales, científicas y técnicas n.c.p.</t>
  </si>
  <si>
    <t>750</t>
  </si>
  <si>
    <t>771</t>
  </si>
  <si>
    <t>Alquiler y arrendamiento de vehículos automotores</t>
  </si>
  <si>
    <t>772</t>
  </si>
  <si>
    <t>Alquiler y arrendamiento de efectos personales y enseres domésticos</t>
  </si>
  <si>
    <t>773</t>
  </si>
  <si>
    <t>Alquiler y arrendamiento de otros tipos de maquinaria, equipo y bienes tangibles n.c.p.</t>
  </si>
  <si>
    <t>774</t>
  </si>
  <si>
    <t>Arrendamiento de propiedad intelectual y productos similares, excepto obras protegidas por derechos de autor</t>
  </si>
  <si>
    <t>781</t>
  </si>
  <si>
    <t>Actividades de agencias de gestión y colocación de empleo</t>
  </si>
  <si>
    <t>782</t>
  </si>
  <si>
    <t>Actividades de empresas de servicios temporales</t>
  </si>
  <si>
    <t>783</t>
  </si>
  <si>
    <t>Otras actividades de provisión de talento humano</t>
  </si>
  <si>
    <t>791</t>
  </si>
  <si>
    <t>Actividades de las agencias de viajes y operadores turísticos</t>
  </si>
  <si>
    <t>799</t>
  </si>
  <si>
    <t>Otros servicios de reserva y actividades relacionadas</t>
  </si>
  <si>
    <t>801</t>
  </si>
  <si>
    <t>Actividades de seguridad privada</t>
  </si>
  <si>
    <t>802</t>
  </si>
  <si>
    <t>Actividades de servicios de sistemas de seguridad</t>
  </si>
  <si>
    <t>811</t>
  </si>
  <si>
    <t>Actividades combinadas de apoyo a instalaciones</t>
  </si>
  <si>
    <t>812</t>
  </si>
  <si>
    <t>Actividades de limpieza</t>
  </si>
  <si>
    <t>813</t>
  </si>
  <si>
    <t>Actividades de paisajismo y servicios de mantenimiento conexos</t>
  </si>
  <si>
    <t>821</t>
  </si>
  <si>
    <t>Actividades administrativas y de apoyo de oficina</t>
  </si>
  <si>
    <t>822</t>
  </si>
  <si>
    <t>Actividades de centros de llamadas (call center)</t>
  </si>
  <si>
    <t>823</t>
  </si>
  <si>
    <t>Organización de convenciones y eventos comerciales</t>
  </si>
  <si>
    <t>829</t>
  </si>
  <si>
    <t>Actividades de servicios de apoyo a las empresas n.c.p.</t>
  </si>
  <si>
    <t>841</t>
  </si>
  <si>
    <t>Administración del Estado y aplicación de la política económica y social de la comunidad</t>
  </si>
  <si>
    <t>842</t>
  </si>
  <si>
    <t>Prestación de servicios a la comunidad en general</t>
  </si>
  <si>
    <t>843</t>
  </si>
  <si>
    <t>Actividades de planes de seguridad social de afiliación obligatoria</t>
  </si>
  <si>
    <t>851</t>
  </si>
  <si>
    <t>Educación de la primera infancia, preescolar y básica primaria</t>
  </si>
  <si>
    <t>852</t>
  </si>
  <si>
    <t>Educación secundaria y de formación laboral</t>
  </si>
  <si>
    <t>853</t>
  </si>
  <si>
    <t>Establecimientos que combinan diferentes niveles de educación</t>
  </si>
  <si>
    <t>854</t>
  </si>
  <si>
    <t>Educación superior</t>
  </si>
  <si>
    <t>855</t>
  </si>
  <si>
    <t>Otros tipos de educación</t>
  </si>
  <si>
    <t>856</t>
  </si>
  <si>
    <t>Actividades de apoyo a la educación</t>
  </si>
  <si>
    <t>861</t>
  </si>
  <si>
    <t>Actividades de hospitales y clínicas, con internación</t>
  </si>
  <si>
    <t>862</t>
  </si>
  <si>
    <t>Actividades de práctica médica y odontológica, sin internación</t>
  </si>
  <si>
    <t>869</t>
  </si>
  <si>
    <t>Otras actividades de atención relacionadas con la salud humana</t>
  </si>
  <si>
    <t>871</t>
  </si>
  <si>
    <t>Actividades de atención residencial medicalizada de tipo general</t>
  </si>
  <si>
    <t>872</t>
  </si>
  <si>
    <t>Actividades de atención residencial, para el cuidado de pacientes con retardo mental, enfermedad mental y consumo de sustancias psicoactivas</t>
  </si>
  <si>
    <t>873</t>
  </si>
  <si>
    <t>Actividades de atención en instituciones para el cuidado de personas mayores y/o discapacitadas</t>
  </si>
  <si>
    <t>879</t>
  </si>
  <si>
    <t>Otras actividades de atención en instituciones con alojamiento</t>
  </si>
  <si>
    <t>881</t>
  </si>
  <si>
    <t>Actividades de asistencia social sin alojamiento para personas mayores y discapacitadas</t>
  </si>
  <si>
    <t>889</t>
  </si>
  <si>
    <t>Otras actividades de asistencia social sin alojamiento</t>
  </si>
  <si>
    <t>900</t>
  </si>
  <si>
    <t>910</t>
  </si>
  <si>
    <t>920</t>
  </si>
  <si>
    <t>931</t>
  </si>
  <si>
    <t>Actividades deportivas</t>
  </si>
  <si>
    <t>932</t>
  </si>
  <si>
    <t>Otras actividades recreativas y de esparcimiento</t>
  </si>
  <si>
    <t>941</t>
  </si>
  <si>
    <t>Actividades de asociaciones empresariales y de empleadores, y asociaciones profesionales</t>
  </si>
  <si>
    <t>942</t>
  </si>
  <si>
    <t>Actividades de sindicatos de empleados</t>
  </si>
  <si>
    <t>949</t>
  </si>
  <si>
    <t>Actividades de otras asociaciones</t>
  </si>
  <si>
    <t>951</t>
  </si>
  <si>
    <t>Mantenimiento y reparación de computadores y equipo de comunicaciones</t>
  </si>
  <si>
    <t>952</t>
  </si>
  <si>
    <t>Mantenimiento y reparación de efectos personales y enseres domésticos</t>
  </si>
  <si>
    <t>960</t>
  </si>
  <si>
    <t>970</t>
  </si>
  <si>
    <t>990</t>
  </si>
  <si>
    <t>Ingreso_Mensual</t>
  </si>
  <si>
    <t>Ingreso_Mediano_Mensual</t>
  </si>
  <si>
    <t>Peso del sector (trabajadores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</si>
</sst>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_-* #,##0_-;\-* #,##0_-;_-* &quot;-&quot;??_-;_-@_-"/>
    <numFmt numFmtId="166" formatCode="0.0%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165" fontId="0" fillId="0" borderId="0" xfId="1" applyNumberFormat="1" applyFont="1"/>
    <xf numFmtId="166" fontId="0" fillId="0" borderId="0" xfId="2" applyNumberFormat="1" applyFo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"/>
  <sheetViews>
    <sheetView workbookViewId="0">
      <selection activeCell="B15" sqref="B15"/>
    </sheetView>
  </sheetViews>
  <sheetFormatPr baseColWidth="10" defaultRowHeight="14.4" x14ac:dyDescent="0.3"/>
  <cols>
    <col min="1" max="1" width="9.6640625" customWidth="1"/>
    <col min="2" max="2" width="80.44140625" customWidth="1"/>
    <col min="3" max="4" width="12.6640625" customWidth="1"/>
    <col min="5" max="5" width="19.6640625" customWidth="1"/>
    <col min="6" max="6" width="28.6640625" customWidth="1"/>
    <col min="7" max="7" width="14.88671875" bestFit="1" customWidth="1"/>
    <col min="8" max="8" width="18.6640625" customWidth="1"/>
    <col min="9" max="9" width="20.6640625" customWidth="1"/>
    <col min="10" max="10" width="12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558</v>
      </c>
      <c r="E1" t="s">
        <v>3</v>
      </c>
      <c r="F1" t="s">
        <v>4</v>
      </c>
      <c r="G1" t="s">
        <v>556</v>
      </c>
      <c r="H1" t="s">
        <v>5</v>
      </c>
      <c r="I1" t="s">
        <v>6</v>
      </c>
      <c r="J1" t="s">
        <v>557</v>
      </c>
    </row>
    <row r="2" spans="1:10" x14ac:dyDescent="0.3">
      <c r="A2">
        <v>85</v>
      </c>
      <c r="B2" t="s">
        <v>81</v>
      </c>
      <c r="C2">
        <v>816822.93842035497</v>
      </c>
      <c r="D2" s="2">
        <f>C2/$C$90</f>
        <v>9.7259463021432166E-2</v>
      </c>
      <c r="E2" s="1">
        <v>34191833581256</v>
      </c>
      <c r="F2">
        <v>41859541.368144199</v>
      </c>
      <c r="G2" s="1">
        <f>F2/12</f>
        <v>3488295.1140120164</v>
      </c>
      <c r="H2">
        <v>41859541.354022302</v>
      </c>
      <c r="I2">
        <v>36000000</v>
      </c>
      <c r="J2" s="1">
        <f>I2/12</f>
        <v>3000000</v>
      </c>
    </row>
    <row r="3" spans="1:10" x14ac:dyDescent="0.3">
      <c r="A3">
        <v>84</v>
      </c>
      <c r="B3" t="s">
        <v>80</v>
      </c>
      <c r="C3">
        <v>717684.72343325603</v>
      </c>
      <c r="D3" s="2">
        <f>C3/$C$90</f>
        <v>8.545503258612222E-2</v>
      </c>
      <c r="E3" s="1">
        <v>34308013386636</v>
      </c>
      <c r="F3">
        <v>47803739.255467899</v>
      </c>
      <c r="G3" s="1">
        <f>F3/12</f>
        <v>3983644.9379556584</v>
      </c>
      <c r="H3">
        <v>47803739.295376703</v>
      </c>
      <c r="I3">
        <v>36000000</v>
      </c>
      <c r="J3" s="1">
        <f>I3/12</f>
        <v>3000000</v>
      </c>
    </row>
    <row r="4" spans="1:10" x14ac:dyDescent="0.3">
      <c r="A4">
        <v>86</v>
      </c>
      <c r="B4" t="s">
        <v>82</v>
      </c>
      <c r="C4">
        <v>677445.141492069</v>
      </c>
      <c r="D4" s="2">
        <f>C4/$C$90</f>
        <v>8.0663688039193368E-2</v>
      </c>
      <c r="E4" s="1">
        <v>24262155029996.199</v>
      </c>
      <c r="F4">
        <v>35814198.883409098</v>
      </c>
      <c r="G4" s="1">
        <f>F4/12</f>
        <v>2984516.5736174248</v>
      </c>
      <c r="H4">
        <v>35814198.865011998</v>
      </c>
      <c r="I4">
        <v>21600000</v>
      </c>
      <c r="J4" s="1">
        <f>I4/12</f>
        <v>1800000</v>
      </c>
    </row>
    <row r="5" spans="1:10" x14ac:dyDescent="0.3">
      <c r="A5">
        <v>47</v>
      </c>
      <c r="B5" t="s">
        <v>49</v>
      </c>
      <c r="C5">
        <v>631694.16426658595</v>
      </c>
      <c r="D5" s="2">
        <f>C5/$C$90</f>
        <v>7.5216099255433808E-2</v>
      </c>
      <c r="E5" s="1">
        <v>14996260960442.1</v>
      </c>
      <c r="F5">
        <v>23739749.088632401</v>
      </c>
      <c r="G5" s="1">
        <f>F5/12</f>
        <v>1978312.4240527002</v>
      </c>
      <c r="H5">
        <v>23739749.0975447</v>
      </c>
      <c r="I5">
        <v>15600000</v>
      </c>
      <c r="J5" s="1">
        <f>I5/12</f>
        <v>1300000</v>
      </c>
    </row>
    <row r="6" spans="1:10" x14ac:dyDescent="0.3">
      <c r="A6">
        <v>1</v>
      </c>
      <c r="B6" t="s">
        <v>7</v>
      </c>
      <c r="C6">
        <v>388708.98243022</v>
      </c>
      <c r="D6" s="2">
        <f>C6/$C$90</f>
        <v>4.628374782897552E-2</v>
      </c>
      <c r="E6" s="1">
        <v>7294624662319</v>
      </c>
      <c r="F6">
        <v>18766287.870974299</v>
      </c>
      <c r="G6" s="1">
        <f>F6/12</f>
        <v>1563857.3225811915</v>
      </c>
      <c r="H6">
        <v>18766287.888315801</v>
      </c>
      <c r="I6">
        <v>15600000</v>
      </c>
      <c r="J6" s="1">
        <f>I6/12</f>
        <v>1300000</v>
      </c>
    </row>
    <row r="7" spans="1:10" x14ac:dyDescent="0.3">
      <c r="A7">
        <v>10</v>
      </c>
      <c r="B7" t="s">
        <v>15</v>
      </c>
      <c r="C7">
        <v>292756.70455157798</v>
      </c>
      <c r="D7" s="2">
        <f>C7/$C$90</f>
        <v>3.4858668312712747E-2</v>
      </c>
      <c r="E7" s="1">
        <v>7472600194666</v>
      </c>
      <c r="F7">
        <v>25524949.825186599</v>
      </c>
      <c r="G7" s="1">
        <f>F7/12</f>
        <v>2127079.1520988834</v>
      </c>
      <c r="H7">
        <v>25524949.792400099</v>
      </c>
      <c r="I7">
        <v>16800000</v>
      </c>
      <c r="J7" s="1">
        <f>I7/12</f>
        <v>1400000</v>
      </c>
    </row>
    <row r="8" spans="1:10" x14ac:dyDescent="0.3">
      <c r="A8">
        <v>46</v>
      </c>
      <c r="B8" t="s">
        <v>48</v>
      </c>
      <c r="C8">
        <v>288618.242274046</v>
      </c>
      <c r="D8" s="2">
        <f>C8/$C$90</f>
        <v>3.4365899806938882E-2</v>
      </c>
      <c r="E8" s="1">
        <v>9115172339985</v>
      </c>
      <c r="F8">
        <v>31582107.451579802</v>
      </c>
      <c r="G8" s="1">
        <f>F8/12</f>
        <v>2631842.28763165</v>
      </c>
      <c r="H8">
        <v>31582107.496272799</v>
      </c>
      <c r="I8">
        <v>18000000</v>
      </c>
      <c r="J8" s="1">
        <f>I8/12</f>
        <v>1500000</v>
      </c>
    </row>
    <row r="9" spans="1:10" x14ac:dyDescent="0.3">
      <c r="A9">
        <v>49</v>
      </c>
      <c r="B9" t="s">
        <v>50</v>
      </c>
      <c r="C9">
        <v>286232.39106547798</v>
      </c>
      <c r="D9" s="2">
        <f>C9/$C$90</f>
        <v>3.4081815464445865E-2</v>
      </c>
      <c r="E9" s="1">
        <v>6929786993097.5</v>
      </c>
      <c r="F9">
        <v>24210352.180275299</v>
      </c>
      <c r="G9" s="1">
        <f>F9/12</f>
        <v>2017529.3483562749</v>
      </c>
      <c r="H9">
        <v>24210352.129055198</v>
      </c>
      <c r="I9">
        <v>18000000</v>
      </c>
      <c r="J9" s="1">
        <f>I9/12</f>
        <v>1500000</v>
      </c>
    </row>
    <row r="10" spans="1:10" x14ac:dyDescent="0.3">
      <c r="A10">
        <v>56</v>
      </c>
      <c r="B10" t="s">
        <v>56</v>
      </c>
      <c r="C10">
        <v>237927.73376095301</v>
      </c>
      <c r="D10" s="2">
        <f>C10/$C$90</f>
        <v>2.8330158881492925E-2</v>
      </c>
      <c r="E10" s="1">
        <v>5104340274338</v>
      </c>
      <c r="F10">
        <v>21453321.954751</v>
      </c>
      <c r="G10" s="1">
        <f>F10/12</f>
        <v>1787776.8295625832</v>
      </c>
      <c r="H10">
        <v>21453321.928221699</v>
      </c>
      <c r="I10">
        <v>15600000</v>
      </c>
      <c r="J10" s="1">
        <f>I10/12</f>
        <v>1300000</v>
      </c>
    </row>
    <row r="11" spans="1:10" x14ac:dyDescent="0.3">
      <c r="A11">
        <v>82</v>
      </c>
      <c r="B11" t="s">
        <v>79</v>
      </c>
      <c r="C11">
        <v>233520.09330105799</v>
      </c>
      <c r="D11" s="2">
        <f>C11/$C$90</f>
        <v>2.7805339212312288E-2</v>
      </c>
      <c r="E11" s="1">
        <v>5663944488955</v>
      </c>
      <c r="F11">
        <v>24254634.4037853</v>
      </c>
      <c r="G11" s="1">
        <f>F11/12</f>
        <v>2021219.533648775</v>
      </c>
      <c r="H11">
        <v>24254634.369431101</v>
      </c>
      <c r="I11">
        <v>17544000</v>
      </c>
      <c r="J11" s="1">
        <f>I11/12</f>
        <v>1462000</v>
      </c>
    </row>
    <row r="12" spans="1:10" x14ac:dyDescent="0.3">
      <c r="A12">
        <v>64</v>
      </c>
      <c r="B12" t="s">
        <v>63</v>
      </c>
      <c r="C12">
        <v>223186.030740738</v>
      </c>
      <c r="D12" s="2">
        <f>C12/$C$90</f>
        <v>2.657485788255148E-2</v>
      </c>
      <c r="E12" s="1">
        <v>10392406874418</v>
      </c>
      <c r="F12">
        <v>46563876.959173404</v>
      </c>
      <c r="G12" s="1">
        <f>F12/12</f>
        <v>3880323.0799311171</v>
      </c>
      <c r="H12">
        <v>46563877.065478303</v>
      </c>
      <c r="I12">
        <v>30000000</v>
      </c>
      <c r="J12" s="1">
        <f>I12/12</f>
        <v>2500000</v>
      </c>
    </row>
    <row r="13" spans="1:10" x14ac:dyDescent="0.3">
      <c r="A13">
        <v>41</v>
      </c>
      <c r="B13" t="s">
        <v>44</v>
      </c>
      <c r="C13">
        <v>214172.20025467899</v>
      </c>
      <c r="D13" s="2">
        <f>C13/$C$90</f>
        <v>2.5501577160862005E-2</v>
      </c>
      <c r="E13" s="1">
        <v>5114371448500</v>
      </c>
      <c r="F13">
        <v>23879716.613166202</v>
      </c>
      <c r="G13" s="1">
        <f>F13/12</f>
        <v>1989976.3844305167</v>
      </c>
      <c r="H13">
        <v>23879716.610241</v>
      </c>
      <c r="I13">
        <v>17544000</v>
      </c>
      <c r="J13" s="1">
        <f>I13/12</f>
        <v>1462000</v>
      </c>
    </row>
    <row r="14" spans="1:10" x14ac:dyDescent="0.3">
      <c r="A14">
        <v>42</v>
      </c>
      <c r="B14" t="s">
        <v>45</v>
      </c>
      <c r="C14">
        <v>172317.744781613</v>
      </c>
      <c r="D14" s="2">
        <f>C14/$C$90</f>
        <v>2.0517948919180639E-2</v>
      </c>
      <c r="E14" s="1">
        <v>4939644509912</v>
      </c>
      <c r="F14">
        <v>28665907.368810199</v>
      </c>
      <c r="G14" s="1">
        <f>F14/12</f>
        <v>2388825.6140675168</v>
      </c>
      <c r="H14">
        <v>28665907.401532501</v>
      </c>
      <c r="I14">
        <v>19200000</v>
      </c>
      <c r="J14" s="1">
        <f>I14/12</f>
        <v>1600000</v>
      </c>
    </row>
    <row r="15" spans="1:10" x14ac:dyDescent="0.3">
      <c r="A15">
        <v>14</v>
      </c>
      <c r="B15" t="s">
        <v>19</v>
      </c>
      <c r="C15">
        <v>156115.59936070401</v>
      </c>
      <c r="D15" s="2">
        <f>C15/$C$90</f>
        <v>1.8588752407534909E-2</v>
      </c>
      <c r="E15" s="1">
        <v>3258957783726</v>
      </c>
      <c r="F15">
        <v>20875285.987252299</v>
      </c>
      <c r="G15" s="1">
        <f>F15/12</f>
        <v>1739607.1656043583</v>
      </c>
      <c r="H15">
        <v>20875286.051044799</v>
      </c>
      <c r="I15">
        <v>15600000</v>
      </c>
      <c r="J15" s="1">
        <f>I15/12</f>
        <v>1300000</v>
      </c>
    </row>
    <row r="16" spans="1:10" x14ac:dyDescent="0.3">
      <c r="A16">
        <v>68</v>
      </c>
      <c r="B16" t="s">
        <v>66</v>
      </c>
      <c r="C16">
        <v>146075.15366792699</v>
      </c>
      <c r="D16" s="2">
        <f>C16/$C$90</f>
        <v>1.7393232166068816E-2</v>
      </c>
      <c r="E16" s="1">
        <v>3738745453328</v>
      </c>
      <c r="F16">
        <v>25594670.6845663</v>
      </c>
      <c r="G16" s="1">
        <f>F16/12</f>
        <v>2132889.2237138585</v>
      </c>
      <c r="H16">
        <v>25594670.6598696</v>
      </c>
      <c r="I16">
        <v>16800000</v>
      </c>
      <c r="J16" s="1">
        <f>I16/12</f>
        <v>1400000</v>
      </c>
    </row>
    <row r="17" spans="1:10" x14ac:dyDescent="0.3">
      <c r="A17">
        <v>62</v>
      </c>
      <c r="B17" t="s">
        <v>61</v>
      </c>
      <c r="C17">
        <v>132528.74803805401</v>
      </c>
      <c r="D17" s="2">
        <f>C17/$C$90</f>
        <v>1.5780255747972771E-2</v>
      </c>
      <c r="E17" s="1">
        <v>10744776564876.6</v>
      </c>
      <c r="F17">
        <v>81075062.761412606</v>
      </c>
      <c r="G17" s="1">
        <f>F17/12</f>
        <v>6756255.2301177168</v>
      </c>
      <c r="H17">
        <v>81075063.036405206</v>
      </c>
      <c r="I17">
        <v>48000000</v>
      </c>
      <c r="J17" s="1">
        <f>I17/12</f>
        <v>4000000</v>
      </c>
    </row>
    <row r="18" spans="1:10" x14ac:dyDescent="0.3">
      <c r="A18">
        <v>94</v>
      </c>
      <c r="B18" t="s">
        <v>89</v>
      </c>
      <c r="C18">
        <v>119552.710658371</v>
      </c>
      <c r="D18" s="2">
        <f>C18/$C$90</f>
        <v>1.4235193325834318E-2</v>
      </c>
      <c r="E18" s="1">
        <v>4130455746481</v>
      </c>
      <c r="F18">
        <v>34549243.7915859</v>
      </c>
      <c r="G18" s="1">
        <f>F18/12</f>
        <v>2879103.6492988248</v>
      </c>
      <c r="H18">
        <v>34549243.747315198</v>
      </c>
      <c r="I18">
        <v>21600000</v>
      </c>
      <c r="J18" s="1">
        <f>I18/12</f>
        <v>1800000</v>
      </c>
    </row>
    <row r="19" spans="1:10" x14ac:dyDescent="0.3">
      <c r="A19">
        <v>45</v>
      </c>
      <c r="B19" t="s">
        <v>47</v>
      </c>
      <c r="C19">
        <v>116756.693752885</v>
      </c>
      <c r="D19" s="2">
        <f>C19/$C$90</f>
        <v>1.3902270375173414E-2</v>
      </c>
      <c r="E19" s="1">
        <v>3066456313946</v>
      </c>
      <c r="F19">
        <v>26263644.638962999</v>
      </c>
      <c r="G19" s="1">
        <f>F19/12</f>
        <v>2188637.0532469167</v>
      </c>
      <c r="H19">
        <v>26263644.630894002</v>
      </c>
      <c r="I19">
        <v>18000000</v>
      </c>
      <c r="J19" s="1">
        <f>I19/12</f>
        <v>1500000</v>
      </c>
    </row>
    <row r="20" spans="1:10" x14ac:dyDescent="0.3">
      <c r="A20">
        <v>61</v>
      </c>
      <c r="B20" t="s">
        <v>60</v>
      </c>
      <c r="C20">
        <v>114376.685863376</v>
      </c>
      <c r="D20" s="2">
        <f>C20/$C$90</f>
        <v>1.3618881799225645E-2</v>
      </c>
      <c r="E20" s="1">
        <v>3742428655158</v>
      </c>
      <c r="F20">
        <v>32720205.406444199</v>
      </c>
      <c r="G20" s="1">
        <f>F20/12</f>
        <v>2726683.7838703501</v>
      </c>
      <c r="H20">
        <v>32720205.387489598</v>
      </c>
      <c r="I20">
        <v>18000000</v>
      </c>
      <c r="J20" s="1">
        <f>I20/12</f>
        <v>1500000</v>
      </c>
    </row>
    <row r="21" spans="1:10" x14ac:dyDescent="0.3">
      <c r="A21">
        <v>65</v>
      </c>
      <c r="B21" t="s">
        <v>64</v>
      </c>
      <c r="C21">
        <v>99794.193536520004</v>
      </c>
      <c r="D21" s="2">
        <f>C21/$C$90</f>
        <v>1.1882538086882092E-2</v>
      </c>
      <c r="E21" s="1">
        <v>4327054420052</v>
      </c>
      <c r="F21">
        <v>43359781.433260404</v>
      </c>
      <c r="G21" s="1">
        <f>F21/12</f>
        <v>3613315.119438367</v>
      </c>
      <c r="H21">
        <v>43359781.495169297</v>
      </c>
      <c r="I21">
        <v>30000000</v>
      </c>
      <c r="J21" s="1">
        <f>I21/12</f>
        <v>2500000</v>
      </c>
    </row>
    <row r="22" spans="1:10" x14ac:dyDescent="0.3">
      <c r="A22">
        <v>22</v>
      </c>
      <c r="B22" t="s">
        <v>27</v>
      </c>
      <c r="C22">
        <v>95304.083910703703</v>
      </c>
      <c r="D22" s="2">
        <f>C22/$C$90</f>
        <v>1.1347898778198133E-2</v>
      </c>
      <c r="E22" s="1">
        <v>2442556225286</v>
      </c>
      <c r="F22">
        <v>25629082.459620301</v>
      </c>
      <c r="G22" s="1">
        <f>F22/12</f>
        <v>2135756.8716350249</v>
      </c>
      <c r="H22">
        <v>25629082.421930298</v>
      </c>
      <c r="I22">
        <v>17544000</v>
      </c>
      <c r="J22" s="1">
        <f>I22/12</f>
        <v>1462000</v>
      </c>
    </row>
    <row r="23" spans="1:10" x14ac:dyDescent="0.3">
      <c r="A23">
        <v>52</v>
      </c>
      <c r="B23" t="s">
        <v>53</v>
      </c>
      <c r="C23">
        <v>95030.673645853996</v>
      </c>
      <c r="D23" s="2">
        <f>C23/$C$90</f>
        <v>1.1315343698886508E-2</v>
      </c>
      <c r="E23" s="1">
        <v>2737167598111.5</v>
      </c>
      <c r="F23">
        <v>28802990.582935002</v>
      </c>
      <c r="G23" s="1">
        <f>F23/12</f>
        <v>2400249.2152445833</v>
      </c>
      <c r="H23">
        <v>28802990.529163402</v>
      </c>
      <c r="I23">
        <v>18000000</v>
      </c>
      <c r="J23" s="1">
        <f>I23/12</f>
        <v>1500000</v>
      </c>
    </row>
    <row r="24" spans="1:10" x14ac:dyDescent="0.3">
      <c r="A24">
        <v>80</v>
      </c>
      <c r="B24" t="s">
        <v>77</v>
      </c>
      <c r="C24">
        <v>92380.3218119144</v>
      </c>
      <c r="D24" s="2">
        <f>C24/$C$90</f>
        <v>1.0999765151734862E-2</v>
      </c>
      <c r="E24" s="1">
        <v>2132280855792</v>
      </c>
      <c r="F24">
        <v>23081548.255842902</v>
      </c>
      <c r="G24" s="1">
        <f>F24/12</f>
        <v>1923462.3546535752</v>
      </c>
      <c r="H24">
        <v>23081548.281298</v>
      </c>
      <c r="I24">
        <v>18000000</v>
      </c>
      <c r="J24" s="1">
        <f>I24/12</f>
        <v>1500000</v>
      </c>
    </row>
    <row r="25" spans="1:10" x14ac:dyDescent="0.3">
      <c r="A25">
        <v>71</v>
      </c>
      <c r="B25" t="s">
        <v>69</v>
      </c>
      <c r="C25">
        <v>87649.950717091604</v>
      </c>
      <c r="D25" s="2">
        <f>C25/$C$90</f>
        <v>1.0436517805297335E-2</v>
      </c>
      <c r="E25" s="1">
        <v>3704443829991.1802</v>
      </c>
      <c r="F25">
        <v>42264072.0238171</v>
      </c>
      <c r="G25" s="1">
        <f>F25/12</f>
        <v>3522006.0019847583</v>
      </c>
      <c r="H25">
        <v>42264072.053271897</v>
      </c>
      <c r="I25">
        <v>28200000</v>
      </c>
      <c r="J25" s="1">
        <f>I25/12</f>
        <v>2350000</v>
      </c>
    </row>
    <row r="26" spans="1:10" x14ac:dyDescent="0.3">
      <c r="A26">
        <v>35</v>
      </c>
      <c r="B26" t="s">
        <v>39</v>
      </c>
      <c r="C26">
        <v>85575.584931135207</v>
      </c>
      <c r="D26" s="2">
        <f>C26/$C$90</f>
        <v>1.0189522167733195E-2</v>
      </c>
      <c r="E26" s="1">
        <v>3304120085368</v>
      </c>
      <c r="F26">
        <v>38610546.314429604</v>
      </c>
      <c r="G26" s="1">
        <f>F26/12</f>
        <v>3217545.5262024668</v>
      </c>
      <c r="H26">
        <v>38610546.226411097</v>
      </c>
      <c r="I26">
        <v>21600000</v>
      </c>
      <c r="J26" s="1">
        <f>I26/12</f>
        <v>1800000</v>
      </c>
    </row>
    <row r="27" spans="1:10" x14ac:dyDescent="0.3">
      <c r="A27">
        <v>43</v>
      </c>
      <c r="B27" t="s">
        <v>46</v>
      </c>
      <c r="C27">
        <v>83169.427042722702</v>
      </c>
      <c r="D27" s="2">
        <f>C27/$C$90</f>
        <v>9.9030199000271039E-3</v>
      </c>
      <c r="E27" s="1">
        <v>2279582729948</v>
      </c>
      <c r="F27">
        <v>27408902.6581489</v>
      </c>
      <c r="G27" s="1">
        <f>F27/12</f>
        <v>2284075.2215124085</v>
      </c>
      <c r="H27">
        <v>27408902.663139701</v>
      </c>
      <c r="I27">
        <v>18000000</v>
      </c>
      <c r="J27" s="1">
        <f>I27/12</f>
        <v>1500000</v>
      </c>
    </row>
    <row r="28" spans="1:10" x14ac:dyDescent="0.3">
      <c r="A28">
        <v>20</v>
      </c>
      <c r="B28" t="s">
        <v>25</v>
      </c>
      <c r="C28">
        <v>81296.940004348799</v>
      </c>
      <c r="D28" s="2">
        <f>C28/$C$90</f>
        <v>9.6800620528600893E-3</v>
      </c>
      <c r="E28" s="1">
        <v>2292983319759</v>
      </c>
      <c r="F28">
        <v>28205038.463149302</v>
      </c>
      <c r="G28" s="1">
        <f>F28/12</f>
        <v>2350419.8719291086</v>
      </c>
      <c r="H28">
        <v>28205038.491212599</v>
      </c>
      <c r="I28">
        <v>18000000</v>
      </c>
      <c r="J28" s="1">
        <f>I28/12</f>
        <v>1500000</v>
      </c>
    </row>
    <row r="29" spans="1:10" x14ac:dyDescent="0.3">
      <c r="A29">
        <v>88</v>
      </c>
      <c r="B29" t="s">
        <v>84</v>
      </c>
      <c r="C29">
        <v>77817.740707278295</v>
      </c>
      <c r="D29" s="2">
        <f>C29/$C$90</f>
        <v>9.2657922772927913E-3</v>
      </c>
      <c r="E29" s="1">
        <v>1609980220727</v>
      </c>
      <c r="F29">
        <v>20689115.439410601</v>
      </c>
      <c r="G29" s="1">
        <f>F29/12</f>
        <v>1724092.9532842168</v>
      </c>
      <c r="H29">
        <v>20689115.4237791</v>
      </c>
      <c r="I29">
        <v>15600000</v>
      </c>
      <c r="J29" s="1">
        <f>I29/12</f>
        <v>1300000</v>
      </c>
    </row>
    <row r="30" spans="1:10" x14ac:dyDescent="0.3">
      <c r="A30">
        <v>25</v>
      </c>
      <c r="B30" t="s">
        <v>30</v>
      </c>
      <c r="C30">
        <v>76325.984061479598</v>
      </c>
      <c r="D30" s="2">
        <f>C30/$C$90</f>
        <v>9.0881681637858692E-3</v>
      </c>
      <c r="E30" s="1">
        <v>1933640272111</v>
      </c>
      <c r="F30">
        <v>25333971.0701074</v>
      </c>
      <c r="G30" s="1">
        <f>F30/12</f>
        <v>2111164.2558422834</v>
      </c>
      <c r="H30">
        <v>25333971.133442201</v>
      </c>
      <c r="I30">
        <v>17520000</v>
      </c>
      <c r="J30" s="1">
        <f>I30/12</f>
        <v>1460000</v>
      </c>
    </row>
    <row r="31" spans="1:10" x14ac:dyDescent="0.3">
      <c r="A31">
        <v>55</v>
      </c>
      <c r="B31" t="s">
        <v>55</v>
      </c>
      <c r="C31">
        <v>70098.722100615501</v>
      </c>
      <c r="D31" s="2">
        <f>C31/$C$90</f>
        <v>8.3466853700010727E-3</v>
      </c>
      <c r="E31" s="1">
        <v>1565973422426.5</v>
      </c>
      <c r="F31">
        <v>22339543.082950901</v>
      </c>
      <c r="G31" s="1">
        <f>F31/12</f>
        <v>1861628.5902459084</v>
      </c>
      <c r="H31">
        <v>22339543.106025599</v>
      </c>
      <c r="I31">
        <v>16440000</v>
      </c>
      <c r="J31" s="1">
        <f>I31/12</f>
        <v>1370000</v>
      </c>
    </row>
    <row r="32" spans="1:10" x14ac:dyDescent="0.3">
      <c r="A32">
        <v>23</v>
      </c>
      <c r="B32" t="s">
        <v>28</v>
      </c>
      <c r="C32">
        <v>65302.219134330699</v>
      </c>
      <c r="D32" s="2">
        <f>C32/$C$90</f>
        <v>7.7755636728267293E-3</v>
      </c>
      <c r="E32" s="1">
        <v>2141214483004</v>
      </c>
      <c r="F32">
        <v>32789306.571640201</v>
      </c>
      <c r="G32" s="1">
        <f>F32/12</f>
        <v>2732442.2143033501</v>
      </c>
      <c r="H32">
        <v>32789306.4573409</v>
      </c>
      <c r="I32">
        <v>18000000</v>
      </c>
      <c r="J32" s="1">
        <f>I32/12</f>
        <v>1500000</v>
      </c>
    </row>
    <row r="33" spans="1:10" x14ac:dyDescent="0.3">
      <c r="A33">
        <v>69</v>
      </c>
      <c r="B33" t="s">
        <v>67</v>
      </c>
      <c r="C33">
        <v>62867.069022655502</v>
      </c>
      <c r="D33" s="2">
        <f>C33/$C$90</f>
        <v>7.4856092884700229E-3</v>
      </c>
      <c r="E33" s="1">
        <v>2597812869245</v>
      </c>
      <c r="F33">
        <v>41322315.635691904</v>
      </c>
      <c r="G33" s="1">
        <f>F33/12</f>
        <v>3443526.3029743251</v>
      </c>
      <c r="H33">
        <v>41322315.622153997</v>
      </c>
      <c r="I33">
        <v>30000000</v>
      </c>
      <c r="J33" s="1">
        <f>I33/12</f>
        <v>2500000</v>
      </c>
    </row>
    <row r="34" spans="1:10" x14ac:dyDescent="0.3">
      <c r="A34">
        <v>53</v>
      </c>
      <c r="B34" t="s">
        <v>54</v>
      </c>
      <c r="C34">
        <v>60208.332467556</v>
      </c>
      <c r="D34" s="2">
        <f>C34/$C$90</f>
        <v>7.169032368918144E-3</v>
      </c>
      <c r="E34" s="1">
        <v>1291684590208</v>
      </c>
      <c r="F34">
        <v>21453585.197763801</v>
      </c>
      <c r="G34" s="1">
        <f>F34/12</f>
        <v>1787798.7664803166</v>
      </c>
      <c r="H34">
        <v>21453585.161700498</v>
      </c>
      <c r="I34">
        <v>15600000</v>
      </c>
      <c r="J34" s="1">
        <f>I34/12</f>
        <v>1300000</v>
      </c>
    </row>
    <row r="35" spans="1:10" x14ac:dyDescent="0.3">
      <c r="A35">
        <v>70</v>
      </c>
      <c r="B35" t="s">
        <v>68</v>
      </c>
      <c r="C35">
        <v>55769.949583768801</v>
      </c>
      <c r="D35" s="2">
        <f>C35/$C$90</f>
        <v>6.6405521859356853E-3</v>
      </c>
      <c r="E35" s="1">
        <v>2468867585554</v>
      </c>
      <c r="F35">
        <v>44268779.225730799</v>
      </c>
      <c r="G35" s="1">
        <f>F35/12</f>
        <v>3689064.9354775664</v>
      </c>
      <c r="H35">
        <v>44268779.269248098</v>
      </c>
      <c r="I35">
        <v>27600000</v>
      </c>
      <c r="J35" s="1">
        <f>I35/12</f>
        <v>2300000</v>
      </c>
    </row>
    <row r="36" spans="1:10" x14ac:dyDescent="0.3">
      <c r="A36">
        <v>5</v>
      </c>
      <c r="B36" t="s">
        <v>10</v>
      </c>
      <c r="C36">
        <v>54460.058613777197</v>
      </c>
      <c r="D36" s="2">
        <f>C36/$C$90</f>
        <v>6.4845828976534759E-3</v>
      </c>
      <c r="E36" s="1">
        <v>1687534053244</v>
      </c>
      <c r="F36">
        <v>30986636.7425666</v>
      </c>
      <c r="G36" s="1">
        <f>F36/12</f>
        <v>2582219.7285472169</v>
      </c>
      <c r="H36">
        <v>30986636.741688699</v>
      </c>
      <c r="I36">
        <v>18000000</v>
      </c>
      <c r="J36" s="1">
        <f>I36/12</f>
        <v>1500000</v>
      </c>
    </row>
    <row r="37" spans="1:10" x14ac:dyDescent="0.3">
      <c r="A37">
        <v>11</v>
      </c>
      <c r="B37" t="s">
        <v>16</v>
      </c>
      <c r="C37">
        <v>53982.389692664103</v>
      </c>
      <c r="D37" s="2">
        <f>C37/$C$90</f>
        <v>6.4277066511815896E-3</v>
      </c>
      <c r="E37" s="1">
        <v>1589056869006</v>
      </c>
      <c r="F37">
        <v>29436578.818627998</v>
      </c>
      <c r="G37" s="1">
        <f>F37/12</f>
        <v>2453048.2348856665</v>
      </c>
      <c r="H37">
        <v>29436578.7775908</v>
      </c>
      <c r="I37">
        <v>18000000</v>
      </c>
      <c r="J37" s="1">
        <f>I37/12</f>
        <v>1500000</v>
      </c>
    </row>
    <row r="38" spans="1:10" x14ac:dyDescent="0.3">
      <c r="A38">
        <v>73</v>
      </c>
      <c r="B38" t="s">
        <v>71</v>
      </c>
      <c r="C38">
        <v>50391.598476886698</v>
      </c>
      <c r="D38" s="2">
        <f>C38/$C$90</f>
        <v>6.000149577253212E-3</v>
      </c>
      <c r="E38" s="1">
        <v>2237635222820</v>
      </c>
      <c r="F38">
        <v>44404926.425311603</v>
      </c>
      <c r="G38" s="1">
        <f>F38/12</f>
        <v>3700410.5354426336</v>
      </c>
      <c r="H38">
        <v>44404926.425439999</v>
      </c>
      <c r="I38">
        <v>31200000</v>
      </c>
      <c r="J38" s="1">
        <f>I38/12</f>
        <v>2600000</v>
      </c>
    </row>
    <row r="39" spans="1:10" x14ac:dyDescent="0.3">
      <c r="A39">
        <v>21</v>
      </c>
      <c r="B39" t="s">
        <v>26</v>
      </c>
      <c r="C39">
        <v>50389.893980741501</v>
      </c>
      <c r="D39" s="2">
        <f>C39/$C$90</f>
        <v>5.9999466221548597E-3</v>
      </c>
      <c r="E39" s="1">
        <v>2090827323756</v>
      </c>
      <c r="F39">
        <v>41492989.140939496</v>
      </c>
      <c r="G39" s="1">
        <f>F39/12</f>
        <v>3457749.0950782914</v>
      </c>
      <c r="H39">
        <v>41492989.061848603</v>
      </c>
      <c r="I39">
        <v>22584000</v>
      </c>
      <c r="J39" s="1">
        <f>I39/12</f>
        <v>1882000</v>
      </c>
    </row>
    <row r="40" spans="1:10" x14ac:dyDescent="0.3">
      <c r="A40">
        <v>36</v>
      </c>
      <c r="B40" t="s">
        <v>40</v>
      </c>
      <c r="C40">
        <v>50018.072564244299</v>
      </c>
      <c r="D40" s="2">
        <f>C40/$C$90</f>
        <v>5.9556736841564215E-3</v>
      </c>
      <c r="E40" s="1">
        <v>1413617145010</v>
      </c>
      <c r="F40">
        <v>28262127.517895099</v>
      </c>
      <c r="G40" s="1">
        <f>F40/12</f>
        <v>2355177.2931579249</v>
      </c>
      <c r="H40">
        <v>28262127.442408402</v>
      </c>
      <c r="I40">
        <v>19200000</v>
      </c>
      <c r="J40" s="1">
        <f>I40/12</f>
        <v>1600000</v>
      </c>
    </row>
    <row r="41" spans="1:10" x14ac:dyDescent="0.3">
      <c r="A41">
        <v>38</v>
      </c>
      <c r="B41" t="s">
        <v>42</v>
      </c>
      <c r="C41">
        <v>48123.679898262002</v>
      </c>
      <c r="D41" s="2">
        <f>C41/$C$90</f>
        <v>5.7301075243697099E-3</v>
      </c>
      <c r="E41" s="1">
        <v>1064802374198</v>
      </c>
      <c r="F41">
        <v>22126370.561209999</v>
      </c>
      <c r="G41" s="1">
        <f>F41/12</f>
        <v>1843864.2134341665</v>
      </c>
      <c r="H41">
        <v>22126370.548114799</v>
      </c>
      <c r="I41">
        <v>15600000</v>
      </c>
      <c r="J41" s="1">
        <f>I41/12</f>
        <v>1300000</v>
      </c>
    </row>
    <row r="42" spans="1:10" x14ac:dyDescent="0.3">
      <c r="A42">
        <v>96</v>
      </c>
      <c r="B42" t="s">
        <v>91</v>
      </c>
      <c r="C42">
        <v>47461.920127868703</v>
      </c>
      <c r="D42" s="2">
        <f>C42/$C$90</f>
        <v>5.6513115002985587E-3</v>
      </c>
      <c r="E42" s="1">
        <v>1104664884075</v>
      </c>
      <c r="F42">
        <v>23274761.768990502</v>
      </c>
      <c r="G42" s="1">
        <f>F42/12</f>
        <v>1939563.4807492085</v>
      </c>
      <c r="H42">
        <v>23274761.8616913</v>
      </c>
      <c r="I42">
        <v>17400000</v>
      </c>
      <c r="J42" s="1">
        <f>I42/12</f>
        <v>1450000</v>
      </c>
    </row>
    <row r="43" spans="1:10" x14ac:dyDescent="0.3">
      <c r="A43">
        <v>81</v>
      </c>
      <c r="B43" t="s">
        <v>78</v>
      </c>
      <c r="C43">
        <v>47361.982568502397</v>
      </c>
      <c r="D43" s="2">
        <f>C43/$C$90</f>
        <v>5.639411891579885E-3</v>
      </c>
      <c r="E43" s="1">
        <v>966129314118</v>
      </c>
      <c r="F43">
        <v>20398835.980327301</v>
      </c>
      <c r="G43" s="1">
        <f>F43/12</f>
        <v>1699902.9983606085</v>
      </c>
      <c r="H43">
        <v>20398835.9584275</v>
      </c>
      <c r="I43">
        <v>15600000</v>
      </c>
      <c r="J43" s="1">
        <f>I43/12</f>
        <v>1300000</v>
      </c>
    </row>
    <row r="44" spans="1:10" x14ac:dyDescent="0.3">
      <c r="A44">
        <v>92</v>
      </c>
      <c r="B44" t="s">
        <v>87</v>
      </c>
      <c r="C44">
        <v>45142.1980962753</v>
      </c>
      <c r="D44" s="2">
        <f>C44/$C$90</f>
        <v>5.3751011877085694E-3</v>
      </c>
      <c r="E44" s="1">
        <v>781546482686.375</v>
      </c>
      <c r="F44">
        <v>17312991.295186002</v>
      </c>
      <c r="G44" s="1">
        <f>F44/12</f>
        <v>1442749.2745988334</v>
      </c>
      <c r="H44">
        <v>17312991.287722599</v>
      </c>
      <c r="I44">
        <v>15600000</v>
      </c>
      <c r="J44" s="1">
        <f>I44/12</f>
        <v>1300000</v>
      </c>
    </row>
    <row r="45" spans="1:10" x14ac:dyDescent="0.3">
      <c r="A45">
        <v>93</v>
      </c>
      <c r="B45" t="s">
        <v>88</v>
      </c>
      <c r="C45">
        <v>45090.234248638197</v>
      </c>
      <c r="D45" s="2">
        <f>C45/$C$90</f>
        <v>5.3689138297390608E-3</v>
      </c>
      <c r="E45" s="1">
        <v>1439530361712.5</v>
      </c>
      <c r="F45">
        <v>31925546.311748799</v>
      </c>
      <c r="G45" s="1">
        <f>F45/12</f>
        <v>2660462.1926457332</v>
      </c>
      <c r="H45">
        <v>31925546.181489401</v>
      </c>
      <c r="I45">
        <v>18000000</v>
      </c>
      <c r="J45" s="1">
        <f>I45/12</f>
        <v>1500000</v>
      </c>
    </row>
    <row r="46" spans="1:10" x14ac:dyDescent="0.3">
      <c r="A46">
        <v>15</v>
      </c>
      <c r="B46" t="s">
        <v>20</v>
      </c>
      <c r="C46">
        <v>40735.455275535598</v>
      </c>
      <c r="D46" s="2">
        <f>C46/$C$90</f>
        <v>4.8503884008130951E-3</v>
      </c>
      <c r="E46" s="1">
        <v>739507320760</v>
      </c>
      <c r="F46">
        <v>18153898.508264001</v>
      </c>
      <c r="G46" s="1">
        <f>F46/12</f>
        <v>1512824.8756886667</v>
      </c>
      <c r="H46">
        <v>18153898.506903499</v>
      </c>
      <c r="I46">
        <v>15600000</v>
      </c>
      <c r="J46" s="1">
        <f>I46/12</f>
        <v>1300000</v>
      </c>
    </row>
    <row r="47" spans="1:10" x14ac:dyDescent="0.3">
      <c r="A47">
        <v>31</v>
      </c>
      <c r="B47" t="s">
        <v>36</v>
      </c>
      <c r="C47">
        <v>39759.545756339998</v>
      </c>
      <c r="D47" s="2">
        <f>C47/$C$90</f>
        <v>4.7341864293331728E-3</v>
      </c>
      <c r="E47" s="1">
        <v>924450903654</v>
      </c>
      <c r="F47">
        <v>23251042.8896585</v>
      </c>
      <c r="G47" s="1">
        <f>F47/12</f>
        <v>1937586.9074715415</v>
      </c>
      <c r="H47">
        <v>23251042.814221799</v>
      </c>
      <c r="I47">
        <v>15600000</v>
      </c>
      <c r="J47" s="1">
        <f>I47/12</f>
        <v>1300000</v>
      </c>
    </row>
    <row r="48" spans="1:10" x14ac:dyDescent="0.3">
      <c r="A48">
        <v>7</v>
      </c>
      <c r="B48" t="s">
        <v>12</v>
      </c>
      <c r="C48">
        <v>39120.194147825197</v>
      </c>
      <c r="D48" s="2">
        <f>C48/$C$90</f>
        <v>4.6580585548561251E-3</v>
      </c>
      <c r="E48" s="1">
        <v>830964585627.5</v>
      </c>
      <c r="F48">
        <v>21241320.594869699</v>
      </c>
      <c r="G48" s="1">
        <f>F48/12</f>
        <v>1770110.049572475</v>
      </c>
      <c r="H48">
        <v>21241320.6531897</v>
      </c>
      <c r="I48">
        <v>15600000</v>
      </c>
      <c r="J48" s="1">
        <f>I48/12</f>
        <v>1300000</v>
      </c>
    </row>
    <row r="49" spans="1:10" x14ac:dyDescent="0.3">
      <c r="A49">
        <v>33</v>
      </c>
      <c r="B49" t="s">
        <v>38</v>
      </c>
      <c r="C49">
        <v>38392.068424224897</v>
      </c>
      <c r="D49" s="2">
        <f>C49/$C$90</f>
        <v>4.5713603078328356E-3</v>
      </c>
      <c r="E49" s="1">
        <v>1004129725264</v>
      </c>
      <c r="F49">
        <v>26154613.868900299</v>
      </c>
      <c r="G49" s="1">
        <f>F49/12</f>
        <v>2179551.1557416916</v>
      </c>
      <c r="H49">
        <v>26154613.863483801</v>
      </c>
      <c r="I49">
        <v>19200000</v>
      </c>
      <c r="J49" s="1">
        <f>I49/12</f>
        <v>1600000</v>
      </c>
    </row>
    <row r="50" spans="1:10" x14ac:dyDescent="0.3">
      <c r="A50">
        <v>17</v>
      </c>
      <c r="B50" t="s">
        <v>22</v>
      </c>
      <c r="C50">
        <v>36072.0728883743</v>
      </c>
      <c r="D50" s="2">
        <f>C50/$C$90</f>
        <v>4.2951174289718244E-3</v>
      </c>
      <c r="E50" s="1">
        <v>1498787840784</v>
      </c>
      <c r="F50">
        <v>41549811.828724802</v>
      </c>
      <c r="G50" s="1">
        <f>F50/12</f>
        <v>3462484.3190604001</v>
      </c>
      <c r="H50">
        <v>41549812.020648502</v>
      </c>
      <c r="I50">
        <v>18000000</v>
      </c>
      <c r="J50" s="1">
        <f>I50/12</f>
        <v>1500000</v>
      </c>
    </row>
    <row r="51" spans="1:10" x14ac:dyDescent="0.3">
      <c r="A51">
        <v>78</v>
      </c>
      <c r="B51" t="s">
        <v>75</v>
      </c>
      <c r="C51">
        <v>34006.937640666998</v>
      </c>
      <c r="D51" s="2">
        <f>C51/$C$90</f>
        <v>4.0492208756170989E-3</v>
      </c>
      <c r="E51" s="1">
        <v>1197220497840</v>
      </c>
      <c r="F51">
        <v>35205184.027164899</v>
      </c>
      <c r="G51" s="1">
        <f>F51/12</f>
        <v>2933765.3355970751</v>
      </c>
      <c r="H51">
        <v>35205183.876931302</v>
      </c>
      <c r="I51">
        <v>21600000</v>
      </c>
      <c r="J51" s="1">
        <f>I51/12</f>
        <v>1800000</v>
      </c>
    </row>
    <row r="52" spans="1:10" x14ac:dyDescent="0.3">
      <c r="A52">
        <v>13</v>
      </c>
      <c r="B52" t="s">
        <v>18</v>
      </c>
      <c r="C52">
        <v>33381.501019895099</v>
      </c>
      <c r="D52" s="2">
        <f>C52/$C$90</f>
        <v>3.9747498647908705E-3</v>
      </c>
      <c r="E52" s="1">
        <v>801464200257</v>
      </c>
      <c r="F52">
        <v>24009231.93296</v>
      </c>
      <c r="G52" s="1">
        <f>F52/12</f>
        <v>2000769.3277466667</v>
      </c>
      <c r="H52">
        <v>24009231.830222201</v>
      </c>
      <c r="I52">
        <v>16800000</v>
      </c>
      <c r="J52" s="1">
        <f>I52/12</f>
        <v>1400000</v>
      </c>
    </row>
    <row r="53" spans="1:10" x14ac:dyDescent="0.3">
      <c r="A53">
        <v>51</v>
      </c>
      <c r="B53" t="s">
        <v>52</v>
      </c>
      <c r="C53">
        <v>32183.183955788601</v>
      </c>
      <c r="D53" s="2">
        <f>C53/$C$90</f>
        <v>3.8320657300752038E-3</v>
      </c>
      <c r="E53" s="1">
        <v>1867957399093</v>
      </c>
      <c r="F53">
        <v>58041410.746031001</v>
      </c>
      <c r="G53" s="1">
        <f>F53/12</f>
        <v>4836784.2288359171</v>
      </c>
      <c r="H53">
        <v>58041410.517927803</v>
      </c>
      <c r="I53">
        <v>30000000</v>
      </c>
      <c r="J53" s="1">
        <f>I53/12</f>
        <v>2500000</v>
      </c>
    </row>
    <row r="54" spans="1:10" x14ac:dyDescent="0.3">
      <c r="A54">
        <v>32</v>
      </c>
      <c r="B54" t="s">
        <v>37</v>
      </c>
      <c r="C54">
        <v>29384.831278324102</v>
      </c>
      <c r="D54" s="2">
        <f>C54/$C$90</f>
        <v>3.4988646580275408E-3</v>
      </c>
      <c r="E54" s="1">
        <v>842796123540</v>
      </c>
      <c r="F54">
        <v>28681332.744683601</v>
      </c>
      <c r="G54" s="1">
        <f>F54/12</f>
        <v>2390111.0620569666</v>
      </c>
      <c r="H54">
        <v>28681332.7442214</v>
      </c>
      <c r="I54">
        <v>17760000</v>
      </c>
      <c r="J54" s="1">
        <f>I54/12</f>
        <v>1480000</v>
      </c>
    </row>
    <row r="55" spans="1:10" x14ac:dyDescent="0.3">
      <c r="A55">
        <v>6</v>
      </c>
      <c r="B55" t="s">
        <v>11</v>
      </c>
      <c r="C55">
        <v>28794.415014267001</v>
      </c>
      <c r="D55" s="2">
        <f>C55/$C$90</f>
        <v>3.428563536327452E-3</v>
      </c>
      <c r="E55" s="1">
        <v>2408519328744</v>
      </c>
      <c r="F55">
        <v>83645364.128794894</v>
      </c>
      <c r="G55" s="1">
        <f>F55/12</f>
        <v>6970447.0107329078</v>
      </c>
      <c r="H55">
        <v>83645363.890393704</v>
      </c>
      <c r="I55">
        <v>50184000</v>
      </c>
      <c r="J55" s="1">
        <f>I55/12</f>
        <v>4182000</v>
      </c>
    </row>
    <row r="56" spans="1:10" x14ac:dyDescent="0.3">
      <c r="A56">
        <v>74</v>
      </c>
      <c r="B56" t="s">
        <v>72</v>
      </c>
      <c r="C56">
        <v>28057.209131836898</v>
      </c>
      <c r="D56" s="2">
        <f>C56/$C$90</f>
        <v>3.3407841108376961E-3</v>
      </c>
      <c r="E56" s="1">
        <v>1459953007443</v>
      </c>
      <c r="F56">
        <v>52034862.077082798</v>
      </c>
      <c r="G56" s="1">
        <f>F56/12</f>
        <v>4336238.5064235665</v>
      </c>
      <c r="H56">
        <v>52034862.273762502</v>
      </c>
      <c r="I56">
        <v>27600000</v>
      </c>
      <c r="J56" s="1">
        <f>I56/12</f>
        <v>2300000</v>
      </c>
    </row>
    <row r="57" spans="1:10" x14ac:dyDescent="0.3">
      <c r="A57">
        <v>27</v>
      </c>
      <c r="B57" t="s">
        <v>32</v>
      </c>
      <c r="C57">
        <v>25539.732819557201</v>
      </c>
      <c r="D57" s="2">
        <f>C57/$C$90</f>
        <v>3.0410271099202044E-3</v>
      </c>
      <c r="E57" s="1">
        <v>778700266300</v>
      </c>
      <c r="F57">
        <v>30489757.735590201</v>
      </c>
      <c r="G57" s="1">
        <f>F57/12</f>
        <v>2540813.1446325169</v>
      </c>
      <c r="H57">
        <v>30489757.702371199</v>
      </c>
      <c r="I57">
        <v>19200000</v>
      </c>
      <c r="J57" s="1">
        <f>I57/12</f>
        <v>1600000</v>
      </c>
    </row>
    <row r="58" spans="1:10" x14ac:dyDescent="0.3">
      <c r="A58">
        <v>58</v>
      </c>
      <c r="B58" t="s">
        <v>57</v>
      </c>
      <c r="C58">
        <v>21208.260876178701</v>
      </c>
      <c r="D58" s="2">
        <f>C58/$C$90</f>
        <v>2.5252768591741926E-3</v>
      </c>
      <c r="E58" s="1">
        <v>1312185702224</v>
      </c>
      <c r="F58">
        <v>61871442.919577397</v>
      </c>
      <c r="G58" s="1">
        <f>F58/12</f>
        <v>5155953.5766314501</v>
      </c>
      <c r="H58">
        <v>61871442.989908502</v>
      </c>
      <c r="I58">
        <v>45600000</v>
      </c>
      <c r="J58" s="1">
        <f>I58/12</f>
        <v>3800000</v>
      </c>
    </row>
    <row r="59" spans="1:10" x14ac:dyDescent="0.3">
      <c r="A59">
        <v>66</v>
      </c>
      <c r="B59" t="s">
        <v>65</v>
      </c>
      <c r="C59">
        <v>20321.850584268599</v>
      </c>
      <c r="D59" s="2">
        <f>C59/$C$90</f>
        <v>2.4197315996659675E-3</v>
      </c>
      <c r="E59" s="1">
        <v>1180402740968</v>
      </c>
      <c r="F59">
        <v>58085396.114552997</v>
      </c>
      <c r="G59" s="1">
        <f>F59/12</f>
        <v>4840449.6762127494</v>
      </c>
      <c r="H59">
        <v>58085396.353533097</v>
      </c>
      <c r="I59">
        <v>33600000</v>
      </c>
      <c r="J59" s="1">
        <f>I59/12</f>
        <v>2800000</v>
      </c>
    </row>
    <row r="60" spans="1:10" x14ac:dyDescent="0.3">
      <c r="A60">
        <v>60</v>
      </c>
      <c r="B60" t="s">
        <v>59</v>
      </c>
      <c r="C60">
        <v>20239.8313493729</v>
      </c>
      <c r="D60" s="2">
        <f>C60/$C$90</f>
        <v>2.4099655336458194E-3</v>
      </c>
      <c r="E60" s="1">
        <v>1096168972518</v>
      </c>
      <c r="F60">
        <v>54158997.355082497</v>
      </c>
      <c r="G60" s="1">
        <f>F60/12</f>
        <v>4513249.7795902081</v>
      </c>
      <c r="H60">
        <v>54158998.180926897</v>
      </c>
      <c r="I60">
        <v>31200000</v>
      </c>
      <c r="J60" s="1">
        <f>I60/12</f>
        <v>2600000</v>
      </c>
    </row>
    <row r="61" spans="1:10" x14ac:dyDescent="0.3">
      <c r="A61">
        <v>29</v>
      </c>
      <c r="B61" t="s">
        <v>34</v>
      </c>
      <c r="C61">
        <v>19541.168630600001</v>
      </c>
      <c r="D61" s="2">
        <f>C61/$C$90</f>
        <v>2.3267754594390928E-3</v>
      </c>
      <c r="E61" s="1">
        <v>499135024020</v>
      </c>
      <c r="F61">
        <v>25542741.759998601</v>
      </c>
      <c r="G61" s="1">
        <f>F61/12</f>
        <v>2128561.8133332166</v>
      </c>
      <c r="H61">
        <v>25542741.685710199</v>
      </c>
      <c r="I61">
        <v>19800000</v>
      </c>
      <c r="J61" s="1">
        <f>I61/12</f>
        <v>1650000</v>
      </c>
    </row>
    <row r="62" spans="1:10" x14ac:dyDescent="0.3">
      <c r="A62">
        <v>79</v>
      </c>
      <c r="B62" t="s">
        <v>76</v>
      </c>
      <c r="C62">
        <v>19442.560150146499</v>
      </c>
      <c r="D62" s="2">
        <f>C62/$C$90</f>
        <v>2.3150341047254086E-3</v>
      </c>
      <c r="E62" s="1">
        <v>686660167672</v>
      </c>
      <c r="F62">
        <v>35317373.965631098</v>
      </c>
      <c r="G62" s="1">
        <f>F62/12</f>
        <v>2943114.4971359246</v>
      </c>
      <c r="H62">
        <v>35317373.8551092</v>
      </c>
      <c r="I62">
        <v>24000000</v>
      </c>
      <c r="J62" s="1">
        <f>I62/12</f>
        <v>2000000</v>
      </c>
    </row>
    <row r="63" spans="1:10" x14ac:dyDescent="0.3">
      <c r="A63">
        <v>77</v>
      </c>
      <c r="B63" t="s">
        <v>74</v>
      </c>
      <c r="C63">
        <v>17624.747442245502</v>
      </c>
      <c r="D63" s="2">
        <f>C63/$C$90</f>
        <v>2.0985863538996335E-3</v>
      </c>
      <c r="E63" s="1">
        <v>426261130768</v>
      </c>
      <c r="F63">
        <v>24185375.260826599</v>
      </c>
      <c r="G63" s="1">
        <f>F63/12</f>
        <v>2015447.9384022166</v>
      </c>
      <c r="H63">
        <v>24185375.3343268</v>
      </c>
      <c r="I63">
        <v>18000000</v>
      </c>
      <c r="J63" s="1">
        <f>I63/12</f>
        <v>1500000</v>
      </c>
    </row>
    <row r="64" spans="1:10" x14ac:dyDescent="0.3">
      <c r="A64">
        <v>28</v>
      </c>
      <c r="B64" t="s">
        <v>33</v>
      </c>
      <c r="C64">
        <v>17297.3819818497</v>
      </c>
      <c r="D64" s="2">
        <f>C64/$C$90</f>
        <v>2.0596068059557013E-3</v>
      </c>
      <c r="E64" s="1">
        <v>528142038720</v>
      </c>
      <c r="F64">
        <v>30533062.128950201</v>
      </c>
      <c r="G64" s="1">
        <f>F64/12</f>
        <v>2544421.8440791834</v>
      </c>
      <c r="H64">
        <v>30533062.0911799</v>
      </c>
      <c r="I64">
        <v>21600000</v>
      </c>
      <c r="J64" s="1">
        <f>I64/12</f>
        <v>1800000</v>
      </c>
    </row>
    <row r="65" spans="1:10" x14ac:dyDescent="0.3">
      <c r="A65">
        <v>87</v>
      </c>
      <c r="B65" t="s">
        <v>83</v>
      </c>
      <c r="C65">
        <v>16901.665789365801</v>
      </c>
      <c r="D65" s="2">
        <f>C65/$C$90</f>
        <v>2.0124887065738461E-3</v>
      </c>
      <c r="E65" s="1">
        <v>341682391873.5</v>
      </c>
      <c r="F65">
        <v>20215900.381161299</v>
      </c>
      <c r="G65" s="1">
        <f>F65/12</f>
        <v>1684658.3650967749</v>
      </c>
      <c r="H65">
        <v>20215900.3432093</v>
      </c>
      <c r="I65">
        <v>15600000</v>
      </c>
      <c r="J65" s="1">
        <f>I65/12</f>
        <v>1300000</v>
      </c>
    </row>
    <row r="66" spans="1:10" x14ac:dyDescent="0.3">
      <c r="A66">
        <v>24</v>
      </c>
      <c r="B66" t="s">
        <v>29</v>
      </c>
      <c r="C66">
        <v>16507.174659252199</v>
      </c>
      <c r="D66" s="2">
        <f>C66/$C$90</f>
        <v>1.965516475901962E-3</v>
      </c>
      <c r="E66" s="1">
        <v>420233327240</v>
      </c>
      <c r="F66">
        <v>25457616.819027301</v>
      </c>
      <c r="G66" s="1">
        <f>F66/12</f>
        <v>2121468.0682522752</v>
      </c>
      <c r="H66">
        <v>25457616.880656999</v>
      </c>
      <c r="I66">
        <v>20400000</v>
      </c>
      <c r="J66" s="1">
        <f>I66/12</f>
        <v>1700000</v>
      </c>
    </row>
    <row r="67" spans="1:10" x14ac:dyDescent="0.3">
      <c r="A67">
        <v>9</v>
      </c>
      <c r="B67" t="s">
        <v>14</v>
      </c>
      <c r="C67">
        <v>15820.8560438156</v>
      </c>
      <c r="D67" s="2">
        <f>C67/$C$90</f>
        <v>1.8837962194556074E-3</v>
      </c>
      <c r="E67" s="1">
        <v>949564972044</v>
      </c>
      <c r="F67">
        <v>60019822.531359598</v>
      </c>
      <c r="G67" s="1">
        <f>F67/12</f>
        <v>5001651.8776132995</v>
      </c>
      <c r="H67">
        <v>60019822.529002003</v>
      </c>
      <c r="I67">
        <v>36000000</v>
      </c>
      <c r="J67" s="1">
        <f>I67/12</f>
        <v>3000000</v>
      </c>
    </row>
    <row r="68" spans="1:10" x14ac:dyDescent="0.3">
      <c r="A68">
        <v>59</v>
      </c>
      <c r="B68" t="s">
        <v>58</v>
      </c>
      <c r="C68">
        <v>14287.3332104683</v>
      </c>
      <c r="D68" s="2">
        <f>C68/$C$90</f>
        <v>1.7011989878072131E-3</v>
      </c>
      <c r="E68" s="1">
        <v>522507678696</v>
      </c>
      <c r="F68">
        <v>36571393.065373503</v>
      </c>
      <c r="G68" s="1">
        <f>F68/12</f>
        <v>3047616.0887811254</v>
      </c>
      <c r="H68">
        <v>36571393.096996397</v>
      </c>
      <c r="I68">
        <v>28800000</v>
      </c>
      <c r="J68" s="1">
        <f>I68/12</f>
        <v>2400000</v>
      </c>
    </row>
    <row r="69" spans="1:10" x14ac:dyDescent="0.3">
      <c r="A69">
        <v>18</v>
      </c>
      <c r="B69" t="s">
        <v>23</v>
      </c>
      <c r="C69">
        <v>14227.397269249001</v>
      </c>
      <c r="D69" s="2">
        <f>C69/$C$90</f>
        <v>1.694062389182857E-3</v>
      </c>
      <c r="E69" s="1">
        <v>320827606670</v>
      </c>
      <c r="F69">
        <v>22549985.819502998</v>
      </c>
      <c r="G69" s="1">
        <f>F69/12</f>
        <v>1879165.4849585833</v>
      </c>
      <c r="H69">
        <v>22549985.804338399</v>
      </c>
      <c r="I69">
        <v>18000000</v>
      </c>
      <c r="J69" s="1">
        <f>I69/12</f>
        <v>1500000</v>
      </c>
    </row>
    <row r="70" spans="1:10" x14ac:dyDescent="0.3">
      <c r="A70">
        <v>63</v>
      </c>
      <c r="B70" t="s">
        <v>62</v>
      </c>
      <c r="C70">
        <v>13339.4946513176</v>
      </c>
      <c r="D70" s="2">
        <f>C70/$C$90</f>
        <v>1.5883394377653362E-3</v>
      </c>
      <c r="E70" s="1">
        <v>706967614674</v>
      </c>
      <c r="F70">
        <v>52998080.748446502</v>
      </c>
      <c r="G70" s="1">
        <f>F70/12</f>
        <v>4416506.7290372085</v>
      </c>
      <c r="H70">
        <v>52998080.601164401</v>
      </c>
      <c r="I70">
        <v>33600000</v>
      </c>
      <c r="J70" s="1">
        <f>I70/12</f>
        <v>2800000</v>
      </c>
    </row>
    <row r="71" spans="1:10" x14ac:dyDescent="0.3">
      <c r="A71">
        <v>91</v>
      </c>
      <c r="B71" t="s">
        <v>86</v>
      </c>
      <c r="C71">
        <v>11977.305493354799</v>
      </c>
      <c r="D71" s="2">
        <f>C71/$C$90</f>
        <v>1.426142981464425E-3</v>
      </c>
      <c r="E71" s="1">
        <v>300158072570</v>
      </c>
      <c r="F71">
        <v>25060567.482104599</v>
      </c>
      <c r="G71" s="1">
        <f>F71/12</f>
        <v>2088380.6235087167</v>
      </c>
      <c r="H71">
        <v>25060567.502760202</v>
      </c>
      <c r="I71">
        <v>16800000</v>
      </c>
      <c r="J71" s="1">
        <f>I71/12</f>
        <v>1400000</v>
      </c>
    </row>
    <row r="72" spans="1:10" x14ac:dyDescent="0.3">
      <c r="A72">
        <v>95</v>
      </c>
      <c r="B72" t="s">
        <v>90</v>
      </c>
      <c r="C72">
        <v>11794.6993768215</v>
      </c>
      <c r="D72" s="2">
        <f>C72/$C$90</f>
        <v>1.4043999916399669E-3</v>
      </c>
      <c r="E72" s="1">
        <v>256839379866.5</v>
      </c>
      <c r="F72">
        <v>21775830.961086702</v>
      </c>
      <c r="G72" s="1">
        <f>F72/12</f>
        <v>1814652.5800905584</v>
      </c>
      <c r="H72">
        <v>21775830.976638</v>
      </c>
      <c r="I72">
        <v>18000000</v>
      </c>
      <c r="J72" s="1">
        <f>I72/12</f>
        <v>1500000</v>
      </c>
    </row>
    <row r="73" spans="1:10" x14ac:dyDescent="0.3">
      <c r="A73">
        <v>8</v>
      </c>
      <c r="B73" t="s">
        <v>13</v>
      </c>
      <c r="C73">
        <v>10820.8193209171</v>
      </c>
      <c r="D73" s="2">
        <f>C73/$C$90</f>
        <v>1.2884396692380026E-3</v>
      </c>
      <c r="E73" s="1">
        <v>211162088615</v>
      </c>
      <c r="F73">
        <v>19514426.990460299</v>
      </c>
      <c r="G73" s="1">
        <f>F73/12</f>
        <v>1626202.2492050249</v>
      </c>
      <c r="H73">
        <v>19514426.891685601</v>
      </c>
      <c r="I73">
        <v>15600000</v>
      </c>
      <c r="J73" s="1">
        <f>I73/12</f>
        <v>1300000</v>
      </c>
    </row>
    <row r="74" spans="1:10" x14ac:dyDescent="0.3">
      <c r="A74">
        <v>72</v>
      </c>
      <c r="B74" t="s">
        <v>70</v>
      </c>
      <c r="C74">
        <v>9562.9239175319708</v>
      </c>
      <c r="D74" s="2">
        <f>C74/$C$90</f>
        <v>1.1386615157167978E-3</v>
      </c>
      <c r="E74" s="1">
        <v>621336548282</v>
      </c>
      <c r="F74">
        <v>64973490.7064237</v>
      </c>
      <c r="G74" s="1">
        <f>F74/12</f>
        <v>5414457.558868642</v>
      </c>
      <c r="H74">
        <v>64973490.513283499</v>
      </c>
      <c r="I74">
        <v>48000000</v>
      </c>
      <c r="J74" s="1">
        <f>I74/12</f>
        <v>4000000</v>
      </c>
    </row>
    <row r="75" spans="1:10" x14ac:dyDescent="0.3">
      <c r="A75">
        <v>30</v>
      </c>
      <c r="B75" t="s">
        <v>35</v>
      </c>
      <c r="C75">
        <v>8611.7141191959399</v>
      </c>
      <c r="D75" s="2">
        <f>C75/$C$90</f>
        <v>1.0254005507568773E-3</v>
      </c>
      <c r="E75" s="1">
        <v>200755530140</v>
      </c>
      <c r="F75">
        <v>23311912.978219502</v>
      </c>
      <c r="G75" s="1">
        <f>F75/12</f>
        <v>1942659.4148516252</v>
      </c>
      <c r="H75">
        <v>23311912.962661602</v>
      </c>
      <c r="I75">
        <v>18600000</v>
      </c>
      <c r="J75" s="1">
        <f>I75/12</f>
        <v>1550000</v>
      </c>
    </row>
    <row r="76" spans="1:10" x14ac:dyDescent="0.3">
      <c r="A76">
        <v>75</v>
      </c>
      <c r="B76" t="s">
        <v>73</v>
      </c>
      <c r="C76">
        <v>8370.4826154708899</v>
      </c>
      <c r="D76" s="2">
        <f>C76/$C$90</f>
        <v>9.9667701054689741E-4</v>
      </c>
      <c r="E76" s="1">
        <v>224020552112</v>
      </c>
      <c r="F76">
        <v>26763158.398770299</v>
      </c>
      <c r="G76" s="1">
        <f>F76/12</f>
        <v>2230263.1998975249</v>
      </c>
      <c r="H76">
        <v>26763158.5717314</v>
      </c>
      <c r="I76">
        <v>21600000</v>
      </c>
      <c r="J76" s="1">
        <f>I76/12</f>
        <v>1800000</v>
      </c>
    </row>
    <row r="77" spans="1:10" x14ac:dyDescent="0.3">
      <c r="A77">
        <v>16</v>
      </c>
      <c r="B77" t="s">
        <v>21</v>
      </c>
      <c r="C77">
        <v>7992.1848473548898</v>
      </c>
      <c r="D77" s="2">
        <f>C77/$C$90</f>
        <v>9.5163293054062079E-4</v>
      </c>
      <c r="E77" s="1">
        <v>179486184328</v>
      </c>
      <c r="F77">
        <v>22457711.846767802</v>
      </c>
      <c r="G77" s="1">
        <f>F77/12</f>
        <v>1871475.9872306501</v>
      </c>
      <c r="H77">
        <v>22457711.890299201</v>
      </c>
      <c r="I77">
        <v>15600000</v>
      </c>
      <c r="J77" s="1">
        <f>I77/12</f>
        <v>1300000</v>
      </c>
    </row>
    <row r="78" spans="1:10" x14ac:dyDescent="0.3">
      <c r="A78">
        <v>99</v>
      </c>
      <c r="B78" t="s">
        <v>93</v>
      </c>
      <c r="C78">
        <v>7366.2776408195496</v>
      </c>
      <c r="D78" s="2">
        <f>C78/$C$90</f>
        <v>8.7710588686258932E-4</v>
      </c>
      <c r="E78" s="1">
        <v>697068170044</v>
      </c>
      <c r="F78">
        <v>94629635.758128494</v>
      </c>
      <c r="G78" s="1">
        <f>F78/12</f>
        <v>7885802.9798440412</v>
      </c>
      <c r="H78">
        <v>94629636.703766301</v>
      </c>
      <c r="I78">
        <v>66492000</v>
      </c>
      <c r="J78" s="1">
        <f>I78/12</f>
        <v>5541000</v>
      </c>
    </row>
    <row r="79" spans="1:10" x14ac:dyDescent="0.3">
      <c r="A79">
        <v>19</v>
      </c>
      <c r="B79" t="s">
        <v>24</v>
      </c>
      <c r="C79">
        <v>7219.2518868446396</v>
      </c>
      <c r="D79" s="2">
        <f>C79/$C$90</f>
        <v>8.5959946630396143E-4</v>
      </c>
      <c r="E79" s="1">
        <v>217988437168</v>
      </c>
      <c r="F79">
        <v>30195433.070458699</v>
      </c>
      <c r="G79" s="1">
        <f>F79/12</f>
        <v>2516286.0892048916</v>
      </c>
      <c r="H79">
        <v>30195433.293017998</v>
      </c>
      <c r="I79">
        <v>18000000</v>
      </c>
      <c r="J79" s="1">
        <f>I79/12</f>
        <v>1500000</v>
      </c>
    </row>
    <row r="80" spans="1:10" x14ac:dyDescent="0.3">
      <c r="A80">
        <v>26</v>
      </c>
      <c r="B80" t="s">
        <v>31</v>
      </c>
      <c r="C80">
        <v>7016.6117854118302</v>
      </c>
      <c r="D80" s="2">
        <f>C80/$C$90</f>
        <v>8.3547102117229315E-4</v>
      </c>
      <c r="E80" s="1">
        <v>305590371480</v>
      </c>
      <c r="F80">
        <v>43552412.592549302</v>
      </c>
      <c r="G80" s="1">
        <f>F80/12</f>
        <v>3629367.716045775</v>
      </c>
      <c r="H80">
        <v>43552412.7925326</v>
      </c>
      <c r="I80">
        <v>24000000</v>
      </c>
      <c r="J80" s="1">
        <f>I80/12</f>
        <v>2000000</v>
      </c>
    </row>
    <row r="81" spans="1:10" x14ac:dyDescent="0.3">
      <c r="A81">
        <v>2</v>
      </c>
      <c r="B81" t="s">
        <v>8</v>
      </c>
      <c r="C81">
        <v>6784.0935640335101</v>
      </c>
      <c r="D81" s="2">
        <f>C81/$C$90</f>
        <v>8.0778497528615769E-4</v>
      </c>
      <c r="E81" s="1">
        <v>247726644114</v>
      </c>
      <c r="F81">
        <v>36515805.947510101</v>
      </c>
      <c r="G81" s="1">
        <f>F81/12</f>
        <v>3042983.8289591749</v>
      </c>
      <c r="H81">
        <v>36515805.954921603</v>
      </c>
      <c r="I81">
        <v>15600000</v>
      </c>
      <c r="J81" s="1">
        <f>I81/12</f>
        <v>1300000</v>
      </c>
    </row>
    <row r="82" spans="1:10" x14ac:dyDescent="0.3">
      <c r="A82">
        <v>90</v>
      </c>
      <c r="B82" t="s">
        <v>85</v>
      </c>
      <c r="C82">
        <v>6716.6488895416296</v>
      </c>
      <c r="D82" s="2">
        <f>C82/$C$90</f>
        <v>7.9975430852082278E-4</v>
      </c>
      <c r="E82" s="1">
        <v>248332373342</v>
      </c>
      <c r="F82">
        <v>36972659.644108199</v>
      </c>
      <c r="G82" s="1">
        <f>F82/12</f>
        <v>3081054.9703423497</v>
      </c>
      <c r="H82">
        <v>36972659.797998898</v>
      </c>
      <c r="I82">
        <v>21600000</v>
      </c>
      <c r="J82" s="1">
        <f>I82/12</f>
        <v>1800000</v>
      </c>
    </row>
    <row r="83" spans="1:10" x14ac:dyDescent="0.3">
      <c r="A83">
        <v>50</v>
      </c>
      <c r="B83" t="s">
        <v>51</v>
      </c>
      <c r="C83">
        <v>4844.3657863140097</v>
      </c>
      <c r="D83" s="2">
        <f>C83/$C$90</f>
        <v>5.7682074400049372E-4</v>
      </c>
      <c r="E83" s="1">
        <v>184098051856</v>
      </c>
      <c r="F83">
        <v>38002508.476156302</v>
      </c>
      <c r="G83" s="1">
        <f>F83/12</f>
        <v>3166875.7063463586</v>
      </c>
      <c r="H83">
        <v>38002508.830756001</v>
      </c>
      <c r="I83">
        <v>24000000</v>
      </c>
      <c r="J83" s="1">
        <f>I83/12</f>
        <v>2000000</v>
      </c>
    </row>
    <row r="84" spans="1:10" x14ac:dyDescent="0.3">
      <c r="A84">
        <v>3</v>
      </c>
      <c r="B84" t="s">
        <v>9</v>
      </c>
      <c r="C84">
        <v>4308.2223696708697</v>
      </c>
      <c r="D84" s="2">
        <f>C84/$C$90</f>
        <v>5.1298191387896157E-4</v>
      </c>
      <c r="E84" s="1">
        <v>74976501756.5</v>
      </c>
      <c r="F84">
        <v>17403117.880897101</v>
      </c>
      <c r="G84" s="1">
        <f>F84/12</f>
        <v>1450259.8234080917</v>
      </c>
      <c r="H84">
        <v>17403117.753610801</v>
      </c>
      <c r="I84">
        <v>15600000</v>
      </c>
      <c r="J84" s="1">
        <f>I84/12</f>
        <v>1300000</v>
      </c>
    </row>
    <row r="85" spans="1:10" x14ac:dyDescent="0.3">
      <c r="A85">
        <v>39</v>
      </c>
      <c r="B85" t="s">
        <v>43</v>
      </c>
      <c r="C85">
        <v>2190.9130539894099</v>
      </c>
      <c r="D85" s="2">
        <f>C85/$C$90</f>
        <v>2.6087297152763942E-4</v>
      </c>
      <c r="E85" s="1">
        <v>48688007728</v>
      </c>
      <c r="F85">
        <v>22222701.918428302</v>
      </c>
      <c r="G85" s="1">
        <f>F85/12</f>
        <v>1851891.8265356917</v>
      </c>
      <c r="H85">
        <v>22222701.638523798</v>
      </c>
      <c r="I85">
        <v>15600000</v>
      </c>
      <c r="J85" s="1">
        <f>I85/12</f>
        <v>1300000</v>
      </c>
    </row>
    <row r="86" spans="1:10" x14ac:dyDescent="0.3">
      <c r="A86">
        <v>12</v>
      </c>
      <c r="B86" t="s">
        <v>17</v>
      </c>
      <c r="C86">
        <v>1537.8700408935499</v>
      </c>
      <c r="D86" s="2">
        <f>C86/$C$90</f>
        <v>1.8311485554422732E-4</v>
      </c>
      <c r="E86" s="1">
        <v>26843639984</v>
      </c>
      <c r="F86">
        <v>17455077.0027375</v>
      </c>
      <c r="G86" s="1">
        <f>F86/12</f>
        <v>1454589.7502281249</v>
      </c>
      <c r="H86">
        <v>17455077.0296616</v>
      </c>
      <c r="I86">
        <v>10800000</v>
      </c>
      <c r="J86" s="1">
        <f>I86/12</f>
        <v>900000</v>
      </c>
    </row>
    <row r="87" spans="1:10" x14ac:dyDescent="0.3">
      <c r="A87">
        <v>37</v>
      </c>
      <c r="B87" t="s">
        <v>41</v>
      </c>
      <c r="C87">
        <v>1209.2748556137101</v>
      </c>
      <c r="D87" s="2">
        <f>C87/$C$90</f>
        <v>1.439888837227817E-4</v>
      </c>
      <c r="E87" s="1">
        <v>20001344128</v>
      </c>
      <c r="F87">
        <v>16539948.742959101</v>
      </c>
      <c r="G87" s="1">
        <f>F87/12</f>
        <v>1378329.0619132584</v>
      </c>
      <c r="H87">
        <v>16539949.0188847</v>
      </c>
      <c r="I87">
        <v>15600000</v>
      </c>
      <c r="J87" s="1">
        <f>I87/12</f>
        <v>1300000</v>
      </c>
    </row>
    <row r="88" spans="1:10" x14ac:dyDescent="0.3">
      <c r="A88">
        <v>0</v>
      </c>
      <c r="C88">
        <v>340.87495326995798</v>
      </c>
      <c r="D88" s="2">
        <f>C88/$C$90</f>
        <v>4.0588129144128509E-5</v>
      </c>
      <c r="E88" s="1">
        <v>11298214080</v>
      </c>
      <c r="F88">
        <v>33144746.986007798</v>
      </c>
      <c r="G88" s="1">
        <f>F88/12</f>
        <v>2762062.2488339832</v>
      </c>
      <c r="H88">
        <v>33144746.086399101</v>
      </c>
      <c r="I88">
        <v>36000000</v>
      </c>
      <c r="J88" s="1">
        <f>I88/12</f>
        <v>3000000</v>
      </c>
    </row>
    <row r="89" spans="1:10" x14ac:dyDescent="0.3">
      <c r="A89">
        <v>97</v>
      </c>
      <c r="B89" t="s">
        <v>92</v>
      </c>
      <c r="C89">
        <v>33.070552825927699</v>
      </c>
      <c r="D89" s="2">
        <f>C89/$C$90</f>
        <v>3.9377251279106364E-6</v>
      </c>
      <c r="E89" s="1">
        <v>520928096</v>
      </c>
      <c r="F89">
        <v>15752022.6148619</v>
      </c>
      <c r="G89" s="1">
        <f>F89/12</f>
        <v>1312668.5512384917</v>
      </c>
      <c r="H89">
        <v>15752022.822743399</v>
      </c>
      <c r="I89">
        <v>15600000</v>
      </c>
      <c r="J89" s="1">
        <f>I89/12</f>
        <v>1300000</v>
      </c>
    </row>
    <row r="90" spans="1:10" x14ac:dyDescent="0.3">
      <c r="C90" s="1">
        <f>SUM(C2:C89)</f>
        <v>8398390.3781204224</v>
      </c>
      <c r="D90" s="1"/>
    </row>
  </sheetData>
  <autoFilter ref="A1:J89" xr:uid="{00000000-0001-0000-0000-000000000000}">
    <sortState xmlns:xlrd2="http://schemas.microsoft.com/office/spreadsheetml/2017/richdata2" ref="A2:J90">
      <sortCondition descending="1" ref="D1:D89"/>
    </sortState>
  </autoFilter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9"/>
  <sheetViews>
    <sheetView tabSelected="1" workbookViewId="0">
      <selection activeCell="A9" sqref="A9:XFD9"/>
    </sheetView>
  </sheetViews>
  <sheetFormatPr baseColWidth="10" defaultRowHeight="14.4" x14ac:dyDescent="0.3"/>
  <cols>
    <col min="1" max="1" width="9.21875" customWidth="1"/>
    <col min="2" max="2" width="7.77734375" customWidth="1"/>
    <col min="3" max="3" width="72.109375" customWidth="1"/>
    <col min="4" max="4" width="12.6640625" customWidth="1"/>
    <col min="5" max="5" width="19.6640625" customWidth="1"/>
    <col min="6" max="6" width="28.6640625" customWidth="1"/>
    <col min="7" max="7" width="18.6640625" customWidth="1"/>
    <col min="8" max="8" width="20.6640625" customWidth="1"/>
  </cols>
  <sheetData>
    <row r="1" spans="1:8" x14ac:dyDescent="0.3">
      <c r="A1" t="s">
        <v>94</v>
      </c>
      <c r="B1" t="s">
        <v>95</v>
      </c>
      <c r="C1" t="s">
        <v>96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>
        <v>71</v>
      </c>
      <c r="B2" t="s">
        <v>128</v>
      </c>
      <c r="C2" t="s">
        <v>129</v>
      </c>
      <c r="D2" s="1">
        <v>7.3440194129943803</v>
      </c>
      <c r="E2">
        <v>176256464</v>
      </c>
      <c r="F2">
        <v>23999999.7396705</v>
      </c>
      <c r="G2">
        <v>24000000</v>
      </c>
      <c r="H2" s="1">
        <v>24000000</v>
      </c>
    </row>
    <row r="3" spans="1:8" x14ac:dyDescent="0.3">
      <c r="A3">
        <v>970</v>
      </c>
      <c r="B3" t="s">
        <v>554</v>
      </c>
      <c r="C3" t="s">
        <v>92</v>
      </c>
      <c r="D3" s="1">
        <v>33.070552825927699</v>
      </c>
      <c r="E3">
        <v>520928096</v>
      </c>
      <c r="F3">
        <v>15752022.6148619</v>
      </c>
      <c r="G3">
        <v>15752022.822743399</v>
      </c>
      <c r="H3" s="1">
        <v>15600000</v>
      </c>
    </row>
    <row r="4" spans="1:8" x14ac:dyDescent="0.3">
      <c r="A4">
        <v>24</v>
      </c>
      <c r="B4" t="s">
        <v>114</v>
      </c>
      <c r="C4" t="s">
        <v>115</v>
      </c>
      <c r="D4" s="1">
        <v>45.794765472412102</v>
      </c>
      <c r="E4">
        <v>637463104</v>
      </c>
      <c r="F4">
        <v>13919999.314856701</v>
      </c>
      <c r="G4">
        <v>13920000</v>
      </c>
      <c r="H4" s="1">
        <v>13920000</v>
      </c>
    </row>
    <row r="5" spans="1:8" x14ac:dyDescent="0.3">
      <c r="A5">
        <v>353</v>
      </c>
      <c r="B5" t="s">
        <v>288</v>
      </c>
      <c r="C5" t="s">
        <v>289</v>
      </c>
      <c r="D5" s="1">
        <v>74.599235534667997</v>
      </c>
      <c r="E5">
        <v>2237976960</v>
      </c>
      <c r="F5">
        <v>29999998.5785372</v>
      </c>
      <c r="G5">
        <v>30000000</v>
      </c>
      <c r="H5" s="1">
        <v>30000000</v>
      </c>
    </row>
    <row r="6" spans="1:8" x14ac:dyDescent="0.3">
      <c r="A6">
        <v>302</v>
      </c>
      <c r="B6" t="s">
        <v>258</v>
      </c>
      <c r="C6" t="s">
        <v>259</v>
      </c>
      <c r="D6" s="1">
        <v>159.24084377288801</v>
      </c>
      <c r="E6">
        <v>9040436384</v>
      </c>
      <c r="F6">
        <v>56772095.461222298</v>
      </c>
      <c r="G6">
        <v>56772098.317982897</v>
      </c>
      <c r="H6" s="1">
        <v>60000000</v>
      </c>
    </row>
    <row r="7" spans="1:8" x14ac:dyDescent="0.3">
      <c r="A7">
        <v>303</v>
      </c>
      <c r="B7" t="s">
        <v>260</v>
      </c>
      <c r="C7" t="s">
        <v>261</v>
      </c>
      <c r="D7" s="1">
        <v>181.01138305664099</v>
      </c>
      <c r="E7">
        <v>4127059456</v>
      </c>
      <c r="F7">
        <v>22799999.570792701</v>
      </c>
      <c r="G7">
        <v>22800000</v>
      </c>
      <c r="H7" s="1">
        <v>22800000</v>
      </c>
    </row>
    <row r="8" spans="1:8" x14ac:dyDescent="0.3">
      <c r="A8">
        <v>62</v>
      </c>
      <c r="B8" t="s">
        <v>126</v>
      </c>
      <c r="C8" t="s">
        <v>127</v>
      </c>
      <c r="D8" s="1">
        <v>200.76255989074701</v>
      </c>
      <c r="E8">
        <v>4028420992</v>
      </c>
      <c r="F8">
        <v>20065598.855644301</v>
      </c>
      <c r="G8">
        <v>20065598.400249299</v>
      </c>
      <c r="H8" s="1">
        <v>16680000</v>
      </c>
    </row>
    <row r="9" spans="1:8" x14ac:dyDescent="0.3">
      <c r="A9">
        <v>774</v>
      </c>
      <c r="B9" t="s">
        <v>470</v>
      </c>
      <c r="C9" t="s">
        <v>471</v>
      </c>
      <c r="D9" s="1">
        <v>209.755519390106</v>
      </c>
      <c r="E9">
        <v>12080864110</v>
      </c>
      <c r="F9">
        <v>57594976.0231665</v>
      </c>
      <c r="G9">
        <v>57594977.913609102</v>
      </c>
      <c r="H9" s="1">
        <v>18000000</v>
      </c>
    </row>
    <row r="10" spans="1:8" x14ac:dyDescent="0.3">
      <c r="A10">
        <v>323</v>
      </c>
      <c r="B10" t="s">
        <v>272</v>
      </c>
      <c r="C10" t="s">
        <v>273</v>
      </c>
      <c r="D10" s="1">
        <v>272.85479259491001</v>
      </c>
      <c r="E10">
        <v>7211396816</v>
      </c>
      <c r="F10">
        <v>26429430.641177401</v>
      </c>
      <c r="G10">
        <v>26429430.835040499</v>
      </c>
      <c r="H10" s="1">
        <v>36000000</v>
      </c>
    </row>
    <row r="11" spans="1:8" x14ac:dyDescent="0.3">
      <c r="A11">
        <v>52</v>
      </c>
      <c r="B11" t="s">
        <v>122</v>
      </c>
      <c r="C11" t="s">
        <v>123</v>
      </c>
      <c r="D11" s="1">
        <v>283.40070343017601</v>
      </c>
      <c r="E11">
        <v>4917543264</v>
      </c>
      <c r="F11">
        <v>17351909.167761099</v>
      </c>
      <c r="G11">
        <v>17351909.622750498</v>
      </c>
      <c r="H11" s="1">
        <v>18000000</v>
      </c>
    </row>
    <row r="12" spans="1:8" x14ac:dyDescent="0.3">
      <c r="A12">
        <v>265</v>
      </c>
      <c r="B12" t="s">
        <v>228</v>
      </c>
      <c r="C12" t="s">
        <v>229</v>
      </c>
      <c r="D12" s="1">
        <v>294.54252719879202</v>
      </c>
      <c r="E12">
        <v>5585332992</v>
      </c>
      <c r="F12">
        <v>18962738.7430894</v>
      </c>
      <c r="G12">
        <v>18962738.7696415</v>
      </c>
      <c r="H12" s="1">
        <v>13920000</v>
      </c>
    </row>
    <row r="13" spans="1:8" x14ac:dyDescent="0.3">
      <c r="A13">
        <v>0</v>
      </c>
      <c r="B13" t="s">
        <v>97</v>
      </c>
      <c r="D13" s="1">
        <v>340.87495326995798</v>
      </c>
      <c r="E13">
        <v>11298214080</v>
      </c>
      <c r="F13">
        <v>33144746.986007798</v>
      </c>
      <c r="G13">
        <v>33144746.086399101</v>
      </c>
      <c r="H13" s="1">
        <v>36000000</v>
      </c>
    </row>
    <row r="14" spans="1:8" x14ac:dyDescent="0.3">
      <c r="A14">
        <v>322</v>
      </c>
      <c r="B14" t="s">
        <v>270</v>
      </c>
      <c r="C14" t="s">
        <v>271</v>
      </c>
      <c r="D14" s="1">
        <v>344.56849861145002</v>
      </c>
      <c r="E14">
        <v>6615714944</v>
      </c>
      <c r="F14">
        <v>19199999.3344144</v>
      </c>
      <c r="G14">
        <v>19200000</v>
      </c>
      <c r="H14" s="1">
        <v>19200000</v>
      </c>
    </row>
    <row r="15" spans="1:8" x14ac:dyDescent="0.3">
      <c r="A15">
        <v>559</v>
      </c>
      <c r="B15" t="s">
        <v>380</v>
      </c>
      <c r="C15" t="s">
        <v>381</v>
      </c>
      <c r="D15" s="1">
        <v>368.198655128479</v>
      </c>
      <c r="E15">
        <v>6170324000</v>
      </c>
      <c r="F15">
        <v>16758138.3420505</v>
      </c>
      <c r="G15">
        <v>16758138.2295777</v>
      </c>
      <c r="H15" s="1">
        <v>15600000</v>
      </c>
    </row>
    <row r="16" spans="1:8" x14ac:dyDescent="0.3">
      <c r="A16">
        <v>264</v>
      </c>
      <c r="B16" t="s">
        <v>226</v>
      </c>
      <c r="C16" t="s">
        <v>227</v>
      </c>
      <c r="D16" s="1">
        <v>390.28274536132801</v>
      </c>
      <c r="E16">
        <v>8974276536</v>
      </c>
      <c r="F16">
        <v>22994294.8866251</v>
      </c>
      <c r="G16">
        <v>22994295.293689001</v>
      </c>
      <c r="H16" s="1">
        <v>25200000</v>
      </c>
    </row>
    <row r="17" spans="1:8" x14ac:dyDescent="0.3">
      <c r="A17">
        <v>99</v>
      </c>
      <c r="B17" t="s">
        <v>140</v>
      </c>
      <c r="C17" t="s">
        <v>141</v>
      </c>
      <c r="D17" s="1">
        <v>515.64391517639206</v>
      </c>
      <c r="E17">
        <v>18473281824</v>
      </c>
      <c r="F17">
        <v>35825656.582567602</v>
      </c>
      <c r="G17">
        <v>35825656.660167001</v>
      </c>
      <c r="H17" s="1">
        <v>33000000</v>
      </c>
    </row>
    <row r="18" spans="1:8" x14ac:dyDescent="0.3">
      <c r="A18">
        <v>266</v>
      </c>
      <c r="B18" t="s">
        <v>230</v>
      </c>
      <c r="C18" t="s">
        <v>231</v>
      </c>
      <c r="D18" s="1">
        <v>599.59175109863304</v>
      </c>
      <c r="E18">
        <v>42419536896</v>
      </c>
      <c r="F18">
        <v>70747365.717214495</v>
      </c>
      <c r="G18">
        <v>70747365.767698005</v>
      </c>
      <c r="H18" s="1">
        <v>84000000</v>
      </c>
    </row>
    <row r="19" spans="1:8" x14ac:dyDescent="0.3">
      <c r="A19">
        <v>493</v>
      </c>
      <c r="B19" t="s">
        <v>358</v>
      </c>
      <c r="C19" t="s">
        <v>359</v>
      </c>
      <c r="D19" s="1">
        <v>623.15166950225796</v>
      </c>
      <c r="E19">
        <v>45396617072</v>
      </c>
      <c r="F19">
        <v>72850028.803197294</v>
      </c>
      <c r="G19">
        <v>72850027.694802403</v>
      </c>
      <c r="H19" s="1">
        <v>60000000</v>
      </c>
    </row>
    <row r="20" spans="1:8" x14ac:dyDescent="0.3">
      <c r="A20">
        <v>142</v>
      </c>
      <c r="B20" t="s">
        <v>168</v>
      </c>
      <c r="C20" t="s">
        <v>169</v>
      </c>
      <c r="D20" s="1">
        <v>665.044589996338</v>
      </c>
      <c r="E20">
        <v>17107542080</v>
      </c>
      <c r="F20">
        <v>25723902.332765698</v>
      </c>
      <c r="G20">
        <v>25723902.274146501</v>
      </c>
      <c r="H20" s="1">
        <v>15600000</v>
      </c>
    </row>
    <row r="21" spans="1:8" x14ac:dyDescent="0.3">
      <c r="A21">
        <v>203</v>
      </c>
      <c r="B21" t="s">
        <v>197</v>
      </c>
      <c r="C21" t="s">
        <v>198</v>
      </c>
      <c r="D21" s="1">
        <v>709.53482818603504</v>
      </c>
      <c r="E21">
        <v>14015571584</v>
      </c>
      <c r="F21">
        <v>19753183.391760498</v>
      </c>
      <c r="G21">
        <v>19753183.811780799</v>
      </c>
      <c r="H21" s="1">
        <v>19200000</v>
      </c>
    </row>
    <row r="22" spans="1:8" x14ac:dyDescent="0.3">
      <c r="A22">
        <v>89</v>
      </c>
      <c r="B22" t="s">
        <v>136</v>
      </c>
      <c r="C22" t="s">
        <v>137</v>
      </c>
      <c r="D22" s="1">
        <v>833.46265697479203</v>
      </c>
      <c r="E22">
        <v>15272708272</v>
      </c>
      <c r="F22">
        <v>18324406.191676501</v>
      </c>
      <c r="G22">
        <v>18324405.844804201</v>
      </c>
      <c r="H22" s="1">
        <v>15600000</v>
      </c>
    </row>
    <row r="23" spans="1:8" x14ac:dyDescent="0.3">
      <c r="A23">
        <v>783</v>
      </c>
      <c r="B23" t="s">
        <v>476</v>
      </c>
      <c r="C23" t="s">
        <v>477</v>
      </c>
      <c r="D23" s="1">
        <v>871.40655803680397</v>
      </c>
      <c r="E23">
        <v>33588589416</v>
      </c>
      <c r="F23">
        <v>38545256.638499402</v>
      </c>
      <c r="G23">
        <v>38545256.407544702</v>
      </c>
      <c r="H23" s="1">
        <v>21600000</v>
      </c>
    </row>
    <row r="24" spans="1:8" x14ac:dyDescent="0.3">
      <c r="A24">
        <v>942</v>
      </c>
      <c r="B24" t="s">
        <v>545</v>
      </c>
      <c r="C24" t="s">
        <v>546</v>
      </c>
      <c r="D24" s="1">
        <v>926.090715646744</v>
      </c>
      <c r="E24">
        <v>19467783412</v>
      </c>
      <c r="F24">
        <v>21021464.8339331</v>
      </c>
      <c r="G24">
        <v>21021464.8437807</v>
      </c>
      <c r="H24" s="1">
        <v>15600000</v>
      </c>
    </row>
    <row r="25" spans="1:8" x14ac:dyDescent="0.3">
      <c r="A25">
        <v>279</v>
      </c>
      <c r="B25" t="s">
        <v>244</v>
      </c>
      <c r="C25" t="s">
        <v>245</v>
      </c>
      <c r="D25" s="1">
        <v>969.64585876464798</v>
      </c>
      <c r="E25">
        <v>21572667744</v>
      </c>
      <c r="F25">
        <v>22247986.2611738</v>
      </c>
      <c r="G25">
        <v>22247986.345445901</v>
      </c>
      <c r="H25" s="1">
        <v>23436000</v>
      </c>
    </row>
    <row r="26" spans="1:8" x14ac:dyDescent="0.3">
      <c r="A26">
        <v>881</v>
      </c>
      <c r="B26" t="s">
        <v>532</v>
      </c>
      <c r="C26" t="s">
        <v>533</v>
      </c>
      <c r="D26" s="1">
        <v>1072.7032585144</v>
      </c>
      <c r="E26">
        <v>21179788624</v>
      </c>
      <c r="F26">
        <v>19744312.749951102</v>
      </c>
      <c r="G26">
        <v>19744312.741167899</v>
      </c>
      <c r="H26" s="1">
        <v>18000000</v>
      </c>
    </row>
    <row r="27" spans="1:8" x14ac:dyDescent="0.3">
      <c r="A27">
        <v>162</v>
      </c>
      <c r="B27" t="s">
        <v>178</v>
      </c>
      <c r="C27" t="s">
        <v>179</v>
      </c>
      <c r="D27" s="1">
        <v>1093.01230621338</v>
      </c>
      <c r="E27">
        <v>25009912640</v>
      </c>
      <c r="F27">
        <v>22881638.658437502</v>
      </c>
      <c r="G27">
        <v>22881638.9964021</v>
      </c>
      <c r="H27" s="1">
        <v>19200000</v>
      </c>
    </row>
    <row r="28" spans="1:8" x14ac:dyDescent="0.3">
      <c r="A28">
        <v>799</v>
      </c>
      <c r="B28" t="s">
        <v>480</v>
      </c>
      <c r="C28" t="s">
        <v>481</v>
      </c>
      <c r="D28" s="1">
        <v>1192.1553516387901</v>
      </c>
      <c r="E28">
        <v>31404615920</v>
      </c>
      <c r="F28">
        <v>26342721.086500801</v>
      </c>
      <c r="G28">
        <v>26342721.1879595</v>
      </c>
      <c r="H28" s="1">
        <v>15600000</v>
      </c>
    </row>
    <row r="29" spans="1:8" x14ac:dyDescent="0.3">
      <c r="A29">
        <v>370</v>
      </c>
      <c r="B29" t="s">
        <v>291</v>
      </c>
      <c r="C29" t="s">
        <v>41</v>
      </c>
      <c r="D29" s="1">
        <v>1209.2748556137101</v>
      </c>
      <c r="E29">
        <v>20001344128</v>
      </c>
      <c r="F29">
        <v>16539948.742959101</v>
      </c>
      <c r="G29">
        <v>16539949.0188847</v>
      </c>
      <c r="H29" s="1">
        <v>15600000</v>
      </c>
    </row>
    <row r="30" spans="1:8" x14ac:dyDescent="0.3">
      <c r="A30">
        <v>164</v>
      </c>
      <c r="B30" t="s">
        <v>182</v>
      </c>
      <c r="C30" t="s">
        <v>183</v>
      </c>
      <c r="D30" s="1">
        <v>1210.2226576805101</v>
      </c>
      <c r="E30">
        <v>32996146280</v>
      </c>
      <c r="F30">
        <v>27264525.3091194</v>
      </c>
      <c r="G30">
        <v>27264524.9690171</v>
      </c>
      <c r="H30" s="1">
        <v>17544000</v>
      </c>
    </row>
    <row r="31" spans="1:8" x14ac:dyDescent="0.3">
      <c r="A31">
        <v>263</v>
      </c>
      <c r="B31" t="s">
        <v>224</v>
      </c>
      <c r="C31" t="s">
        <v>225</v>
      </c>
      <c r="D31" s="1">
        <v>1220.9498152732799</v>
      </c>
      <c r="E31">
        <v>145139109232</v>
      </c>
      <c r="F31">
        <v>118873935.207168</v>
      </c>
      <c r="G31">
        <v>118873935.93232299</v>
      </c>
      <c r="H31" s="1">
        <v>48000000</v>
      </c>
    </row>
    <row r="32" spans="1:8" x14ac:dyDescent="0.3">
      <c r="A32">
        <v>31</v>
      </c>
      <c r="B32" t="s">
        <v>116</v>
      </c>
      <c r="C32" t="s">
        <v>117</v>
      </c>
      <c r="D32" s="1">
        <v>1228.3400788307199</v>
      </c>
      <c r="E32">
        <v>16695029964.5</v>
      </c>
      <c r="F32">
        <v>13591537.2723101</v>
      </c>
      <c r="G32">
        <v>13591537.227701999</v>
      </c>
      <c r="H32" s="1">
        <v>9600000</v>
      </c>
    </row>
    <row r="33" spans="1:8" x14ac:dyDescent="0.3">
      <c r="A33">
        <v>267</v>
      </c>
      <c r="B33" t="s">
        <v>232</v>
      </c>
      <c r="C33" t="s">
        <v>233</v>
      </c>
      <c r="D33" s="1">
        <v>1261.92125797272</v>
      </c>
      <c r="E33">
        <v>26382933136</v>
      </c>
      <c r="F33">
        <v>20906956.729126099</v>
      </c>
      <c r="G33">
        <v>20906956.476398502</v>
      </c>
      <c r="H33" s="1">
        <v>15600000</v>
      </c>
    </row>
    <row r="34" spans="1:8" x14ac:dyDescent="0.3">
      <c r="A34">
        <v>261</v>
      </c>
      <c r="B34" t="s">
        <v>220</v>
      </c>
      <c r="C34" t="s">
        <v>221</v>
      </c>
      <c r="D34" s="1">
        <v>1315.0198163986199</v>
      </c>
      <c r="E34">
        <v>37765314080</v>
      </c>
      <c r="F34">
        <v>28718437.2501899</v>
      </c>
      <c r="G34">
        <v>28718437.831327699</v>
      </c>
      <c r="H34" s="1">
        <v>22800000</v>
      </c>
    </row>
    <row r="35" spans="1:8" x14ac:dyDescent="0.3">
      <c r="A35">
        <v>252</v>
      </c>
      <c r="B35" t="s">
        <v>216</v>
      </c>
      <c r="C35" t="s">
        <v>217</v>
      </c>
      <c r="D35" s="1">
        <v>1326.8986129760699</v>
      </c>
      <c r="E35">
        <v>33151862784</v>
      </c>
      <c r="F35">
        <v>24984473.161550999</v>
      </c>
      <c r="G35">
        <v>24984472.996736299</v>
      </c>
      <c r="H35" s="1">
        <v>21600000</v>
      </c>
    </row>
    <row r="36" spans="1:8" x14ac:dyDescent="0.3">
      <c r="A36">
        <v>722</v>
      </c>
      <c r="B36" t="s">
        <v>451</v>
      </c>
      <c r="C36" t="s">
        <v>452</v>
      </c>
      <c r="D36" s="1">
        <v>1421.2845621109</v>
      </c>
      <c r="E36">
        <v>122986369920</v>
      </c>
      <c r="F36">
        <v>86531841.123595804</v>
      </c>
      <c r="G36">
        <v>86531841.814804897</v>
      </c>
      <c r="H36" s="1">
        <v>84000000</v>
      </c>
    </row>
    <row r="37" spans="1:8" x14ac:dyDescent="0.3">
      <c r="A37">
        <v>274</v>
      </c>
      <c r="B37" t="s">
        <v>240</v>
      </c>
      <c r="C37" t="s">
        <v>241</v>
      </c>
      <c r="D37" s="1">
        <v>1484.25081205368</v>
      </c>
      <c r="E37">
        <v>66742245464</v>
      </c>
      <c r="F37">
        <v>44966959.035482898</v>
      </c>
      <c r="G37">
        <v>44966959.2373171</v>
      </c>
      <c r="H37" s="1">
        <v>19200000</v>
      </c>
    </row>
    <row r="38" spans="1:8" x14ac:dyDescent="0.3">
      <c r="A38">
        <v>856</v>
      </c>
      <c r="B38" t="s">
        <v>516</v>
      </c>
      <c r="C38" t="s">
        <v>517</v>
      </c>
      <c r="D38" s="1">
        <v>1501.4344847202301</v>
      </c>
      <c r="E38">
        <v>50587015264</v>
      </c>
      <c r="F38">
        <v>33692455.967152096</v>
      </c>
      <c r="G38">
        <v>33692456.125142999</v>
      </c>
      <c r="H38" s="1">
        <v>31200000</v>
      </c>
    </row>
    <row r="39" spans="1:8" x14ac:dyDescent="0.3">
      <c r="A39">
        <v>301</v>
      </c>
      <c r="B39" t="s">
        <v>256</v>
      </c>
      <c r="C39" t="s">
        <v>257</v>
      </c>
      <c r="D39" s="1">
        <v>1511.3752400875101</v>
      </c>
      <c r="E39">
        <v>30885216936</v>
      </c>
      <c r="F39">
        <v>20435174.6123694</v>
      </c>
      <c r="G39">
        <v>20435174.8843401</v>
      </c>
      <c r="H39" s="1">
        <v>18000000</v>
      </c>
    </row>
    <row r="40" spans="1:8" x14ac:dyDescent="0.3">
      <c r="A40">
        <v>120</v>
      </c>
      <c r="B40" t="s">
        <v>161</v>
      </c>
      <c r="C40" t="s">
        <v>17</v>
      </c>
      <c r="D40" s="1">
        <v>1537.8700408935499</v>
      </c>
      <c r="E40">
        <v>26843639984</v>
      </c>
      <c r="F40">
        <v>17455077.0027375</v>
      </c>
      <c r="G40">
        <v>17455077.0296616</v>
      </c>
      <c r="H40" s="1">
        <v>10800000</v>
      </c>
    </row>
    <row r="41" spans="1:8" x14ac:dyDescent="0.3">
      <c r="A41">
        <v>324</v>
      </c>
      <c r="B41" t="s">
        <v>274</v>
      </c>
      <c r="C41" t="s">
        <v>275</v>
      </c>
      <c r="D41" s="1">
        <v>1544.0120220184299</v>
      </c>
      <c r="E41">
        <v>81051850472</v>
      </c>
      <c r="F41">
        <v>52494313.072798297</v>
      </c>
      <c r="G41">
        <v>52494313.096032299</v>
      </c>
      <c r="H41" s="1">
        <v>19200000</v>
      </c>
    </row>
    <row r="42" spans="1:8" x14ac:dyDescent="0.3">
      <c r="A42">
        <v>592</v>
      </c>
      <c r="B42" t="s">
        <v>394</v>
      </c>
      <c r="C42" t="s">
        <v>395</v>
      </c>
      <c r="D42" s="1">
        <v>1595.85438346863</v>
      </c>
      <c r="E42">
        <v>69524803584</v>
      </c>
      <c r="F42">
        <v>43565881.890104599</v>
      </c>
      <c r="G42">
        <v>43565882.425157398</v>
      </c>
      <c r="H42" s="1">
        <v>35040000</v>
      </c>
    </row>
    <row r="43" spans="1:8" x14ac:dyDescent="0.3">
      <c r="A43">
        <v>771</v>
      </c>
      <c r="B43" t="s">
        <v>464</v>
      </c>
      <c r="C43" t="s">
        <v>465</v>
      </c>
      <c r="D43" s="1">
        <v>1596.1733942031899</v>
      </c>
      <c r="E43">
        <v>40785725408</v>
      </c>
      <c r="F43">
        <v>25552189.728334799</v>
      </c>
      <c r="G43">
        <v>25552189.9098843</v>
      </c>
      <c r="H43" s="1">
        <v>24000000</v>
      </c>
    </row>
    <row r="44" spans="1:8" x14ac:dyDescent="0.3">
      <c r="A44">
        <v>163</v>
      </c>
      <c r="B44" t="s">
        <v>180</v>
      </c>
      <c r="C44" t="s">
        <v>181</v>
      </c>
      <c r="D44" s="1">
        <v>1599.0336351394701</v>
      </c>
      <c r="E44">
        <v>27544972848</v>
      </c>
      <c r="F44">
        <v>17226012.163025901</v>
      </c>
      <c r="G44">
        <v>17226012.457139999</v>
      </c>
      <c r="H44" s="1">
        <v>15600000</v>
      </c>
    </row>
    <row r="45" spans="1:8" x14ac:dyDescent="0.3">
      <c r="A45">
        <v>272</v>
      </c>
      <c r="B45" t="s">
        <v>236</v>
      </c>
      <c r="C45" t="s">
        <v>237</v>
      </c>
      <c r="D45" s="1">
        <v>1805.51105070114</v>
      </c>
      <c r="E45">
        <v>44516128904</v>
      </c>
      <c r="F45">
        <v>24655694.5119294</v>
      </c>
      <c r="G45">
        <v>24655694.2675955</v>
      </c>
      <c r="H45" s="1">
        <v>17544000</v>
      </c>
    </row>
    <row r="46" spans="1:8" x14ac:dyDescent="0.3">
      <c r="A46">
        <v>169</v>
      </c>
      <c r="B46" t="s">
        <v>184</v>
      </c>
      <c r="C46" t="s">
        <v>185</v>
      </c>
      <c r="D46" s="1">
        <v>1823.4395084381099</v>
      </c>
      <c r="E46">
        <v>56418641776</v>
      </c>
      <c r="F46">
        <v>30940780.604411799</v>
      </c>
      <c r="G46">
        <v>30940780.437463801</v>
      </c>
      <c r="H46" s="1">
        <v>15600000</v>
      </c>
    </row>
    <row r="47" spans="1:8" x14ac:dyDescent="0.3">
      <c r="A47">
        <v>502</v>
      </c>
      <c r="B47" t="s">
        <v>362</v>
      </c>
      <c r="C47" t="s">
        <v>363</v>
      </c>
      <c r="D47" s="1">
        <v>1896.2398931980099</v>
      </c>
      <c r="E47">
        <v>57979656508</v>
      </c>
      <c r="F47">
        <v>30576118.937260199</v>
      </c>
      <c r="G47">
        <v>30576119.2962748</v>
      </c>
      <c r="H47" s="1">
        <v>18300000</v>
      </c>
    </row>
    <row r="48" spans="1:8" x14ac:dyDescent="0.3">
      <c r="A48">
        <v>262</v>
      </c>
      <c r="B48" t="s">
        <v>222</v>
      </c>
      <c r="C48" t="s">
        <v>223</v>
      </c>
      <c r="D48" s="1">
        <v>1934.3038721084599</v>
      </c>
      <c r="E48">
        <v>39323868608</v>
      </c>
      <c r="F48">
        <v>20329726.458715901</v>
      </c>
      <c r="G48">
        <v>20329726.394393802</v>
      </c>
      <c r="H48" s="1">
        <v>17520000</v>
      </c>
    </row>
    <row r="49" spans="1:8" x14ac:dyDescent="0.3">
      <c r="A49">
        <v>872</v>
      </c>
      <c r="B49" t="s">
        <v>526</v>
      </c>
      <c r="C49" t="s">
        <v>527</v>
      </c>
      <c r="D49" s="1">
        <v>2032.7149949073801</v>
      </c>
      <c r="E49">
        <v>51804036160</v>
      </c>
      <c r="F49">
        <v>25485144.887397502</v>
      </c>
      <c r="G49">
        <v>25485144.801163401</v>
      </c>
      <c r="H49" s="1">
        <v>22944000</v>
      </c>
    </row>
    <row r="50" spans="1:8" x14ac:dyDescent="0.3">
      <c r="A50">
        <v>143</v>
      </c>
      <c r="B50" t="s">
        <v>170</v>
      </c>
      <c r="C50" t="s">
        <v>171</v>
      </c>
      <c r="D50" s="1">
        <v>2091.54529857635</v>
      </c>
      <c r="E50">
        <v>52298558216</v>
      </c>
      <c r="F50">
        <v>25004745.654611401</v>
      </c>
      <c r="G50">
        <v>25004745.4429425</v>
      </c>
      <c r="H50" s="1">
        <v>15600000</v>
      </c>
    </row>
    <row r="51" spans="1:8" x14ac:dyDescent="0.3">
      <c r="A51">
        <v>871</v>
      </c>
      <c r="B51" t="s">
        <v>524</v>
      </c>
      <c r="C51" t="s">
        <v>525</v>
      </c>
      <c r="D51" s="1">
        <v>2161.0417013168299</v>
      </c>
      <c r="E51">
        <v>38423025184</v>
      </c>
      <c r="F51">
        <v>17779862.906202499</v>
      </c>
      <c r="G51">
        <v>17779862.796963301</v>
      </c>
      <c r="H51" s="1">
        <v>16800000</v>
      </c>
    </row>
    <row r="52" spans="1:8" x14ac:dyDescent="0.3">
      <c r="A52">
        <v>852</v>
      </c>
      <c r="B52" t="s">
        <v>508</v>
      </c>
      <c r="C52" t="s">
        <v>509</v>
      </c>
      <c r="D52" s="1">
        <v>2185.8632127046599</v>
      </c>
      <c r="E52">
        <v>78625379248</v>
      </c>
      <c r="F52">
        <v>35969944.867095999</v>
      </c>
      <c r="G52">
        <v>35969944.602249101</v>
      </c>
      <c r="H52" s="1">
        <v>28800000</v>
      </c>
    </row>
    <row r="53" spans="1:8" x14ac:dyDescent="0.3">
      <c r="A53">
        <v>390</v>
      </c>
      <c r="B53" t="s">
        <v>298</v>
      </c>
      <c r="C53" t="s">
        <v>43</v>
      </c>
      <c r="D53" s="1">
        <v>2190.9130539894099</v>
      </c>
      <c r="E53">
        <v>48688007728</v>
      </c>
      <c r="F53">
        <v>22222701.918428302</v>
      </c>
      <c r="G53">
        <v>22222701.638523798</v>
      </c>
      <c r="H53" s="1">
        <v>15600000</v>
      </c>
    </row>
    <row r="54" spans="1:8" x14ac:dyDescent="0.3">
      <c r="A54">
        <v>531</v>
      </c>
      <c r="B54" t="s">
        <v>372</v>
      </c>
      <c r="C54" t="s">
        <v>373</v>
      </c>
      <c r="D54" s="1">
        <v>2205.3891865014998</v>
      </c>
      <c r="E54">
        <v>54911509390</v>
      </c>
      <c r="F54">
        <v>24898784.181085199</v>
      </c>
      <c r="G54">
        <v>24898784.149742499</v>
      </c>
      <c r="H54" s="1">
        <v>15600000</v>
      </c>
    </row>
    <row r="55" spans="1:8" x14ac:dyDescent="0.3">
      <c r="A55">
        <v>161</v>
      </c>
      <c r="B55" t="s">
        <v>176</v>
      </c>
      <c r="C55" t="s">
        <v>177</v>
      </c>
      <c r="D55" s="1">
        <v>2266.4767398834201</v>
      </c>
      <c r="E55">
        <v>37516510784</v>
      </c>
      <c r="F55">
        <v>16552788.794968899</v>
      </c>
      <c r="G55">
        <v>16552788.893903101</v>
      </c>
      <c r="H55" s="1">
        <v>15600000</v>
      </c>
    </row>
    <row r="56" spans="1:8" x14ac:dyDescent="0.3">
      <c r="A56">
        <v>491</v>
      </c>
      <c r="B56" t="s">
        <v>354</v>
      </c>
      <c r="C56" t="s">
        <v>355</v>
      </c>
      <c r="D56" s="1">
        <v>2320.73326778412</v>
      </c>
      <c r="E56">
        <v>97498710400</v>
      </c>
      <c r="F56">
        <v>42012027.729965597</v>
      </c>
      <c r="G56">
        <v>42012027.305422701</v>
      </c>
      <c r="H56" s="1">
        <v>34800000</v>
      </c>
    </row>
    <row r="57" spans="1:8" x14ac:dyDescent="0.3">
      <c r="A57">
        <v>382</v>
      </c>
      <c r="B57" t="s">
        <v>294</v>
      </c>
      <c r="C57" t="s">
        <v>295</v>
      </c>
      <c r="D57" s="1">
        <v>2339.7488698959401</v>
      </c>
      <c r="E57">
        <v>95735103304</v>
      </c>
      <c r="F57">
        <v>40916828.526241802</v>
      </c>
      <c r="G57">
        <v>40916828.117546402</v>
      </c>
      <c r="H57" s="1">
        <v>15600000</v>
      </c>
    </row>
    <row r="58" spans="1:8" x14ac:dyDescent="0.3">
      <c r="A58">
        <v>742</v>
      </c>
      <c r="B58" t="s">
        <v>459</v>
      </c>
      <c r="C58" t="s">
        <v>460</v>
      </c>
      <c r="D58" s="1">
        <v>2366.8694806098902</v>
      </c>
      <c r="E58">
        <v>89588928480</v>
      </c>
      <c r="F58">
        <v>37851233.122037098</v>
      </c>
      <c r="G58">
        <v>37851232.884405397</v>
      </c>
      <c r="H58" s="1">
        <v>15600000</v>
      </c>
    </row>
    <row r="59" spans="1:8" x14ac:dyDescent="0.3">
      <c r="A59">
        <v>811</v>
      </c>
      <c r="B59" t="s">
        <v>486</v>
      </c>
      <c r="C59" t="s">
        <v>487</v>
      </c>
      <c r="D59" s="1">
        <v>2400.7887659072899</v>
      </c>
      <c r="E59">
        <v>92796353288</v>
      </c>
      <c r="F59">
        <v>38652443.982480504</v>
      </c>
      <c r="G59">
        <v>38652444.060577497</v>
      </c>
      <c r="H59" s="1">
        <v>17544000</v>
      </c>
    </row>
    <row r="60" spans="1:8" x14ac:dyDescent="0.3">
      <c r="A60">
        <v>242</v>
      </c>
      <c r="B60" t="s">
        <v>210</v>
      </c>
      <c r="C60" t="s">
        <v>211</v>
      </c>
      <c r="D60" s="1">
        <v>2454.8346929550198</v>
      </c>
      <c r="E60">
        <v>59630596048</v>
      </c>
      <c r="F60">
        <v>24291084.128446698</v>
      </c>
      <c r="G60">
        <v>24291084.594652899</v>
      </c>
      <c r="H60" s="1">
        <v>24000000</v>
      </c>
    </row>
    <row r="61" spans="1:8" x14ac:dyDescent="0.3">
      <c r="A61">
        <v>332</v>
      </c>
      <c r="B61" t="s">
        <v>282</v>
      </c>
      <c r="C61" t="s">
        <v>283</v>
      </c>
      <c r="D61" s="1">
        <v>2540.2987933158902</v>
      </c>
      <c r="E61">
        <v>98505811656</v>
      </c>
      <c r="F61">
        <v>38777254.043969803</v>
      </c>
      <c r="G61">
        <v>38777253.147725798</v>
      </c>
      <c r="H61" s="1">
        <v>18000000</v>
      </c>
    </row>
    <row r="62" spans="1:8" x14ac:dyDescent="0.3">
      <c r="A62">
        <v>879</v>
      </c>
      <c r="B62" t="s">
        <v>530</v>
      </c>
      <c r="C62" t="s">
        <v>531</v>
      </c>
      <c r="D62" s="1">
        <v>2585.8236951827998</v>
      </c>
      <c r="E62">
        <v>59024373625.5</v>
      </c>
      <c r="F62">
        <v>22826139.978320301</v>
      </c>
      <c r="G62">
        <v>22826140.0408598</v>
      </c>
      <c r="H62" s="1">
        <v>15600000</v>
      </c>
    </row>
    <row r="63" spans="1:8" x14ac:dyDescent="0.3">
      <c r="A63">
        <v>802</v>
      </c>
      <c r="B63" t="s">
        <v>484</v>
      </c>
      <c r="C63" t="s">
        <v>485</v>
      </c>
      <c r="D63" s="1">
        <v>2681.8548722267201</v>
      </c>
      <c r="E63">
        <v>119635088520</v>
      </c>
      <c r="F63">
        <v>44609083.719980799</v>
      </c>
      <c r="G63">
        <v>44609084.290727302</v>
      </c>
      <c r="H63" s="1">
        <v>31200000</v>
      </c>
    </row>
    <row r="64" spans="1:8" x14ac:dyDescent="0.3">
      <c r="A64">
        <v>772</v>
      </c>
      <c r="B64" t="s">
        <v>466</v>
      </c>
      <c r="C64" t="s">
        <v>467</v>
      </c>
      <c r="D64" s="1">
        <v>2803.6032342910798</v>
      </c>
      <c r="E64">
        <v>84601362696</v>
      </c>
      <c r="F64">
        <v>30175939.898069199</v>
      </c>
      <c r="G64">
        <v>30175939.447909001</v>
      </c>
      <c r="H64" s="1">
        <v>18000000</v>
      </c>
    </row>
    <row r="65" spans="1:8" x14ac:dyDescent="0.3">
      <c r="A65">
        <v>273</v>
      </c>
      <c r="B65" t="s">
        <v>238</v>
      </c>
      <c r="C65" t="s">
        <v>239</v>
      </c>
      <c r="D65" s="1">
        <v>2870.6460046768202</v>
      </c>
      <c r="E65">
        <v>90792187976</v>
      </c>
      <c r="F65">
        <v>31627789.643196199</v>
      </c>
      <c r="G65">
        <v>31627789.729412101</v>
      </c>
      <c r="H65" s="1">
        <v>17520000</v>
      </c>
    </row>
    <row r="66" spans="1:8" x14ac:dyDescent="0.3">
      <c r="A66">
        <v>82</v>
      </c>
      <c r="B66" t="s">
        <v>134</v>
      </c>
      <c r="C66" t="s">
        <v>135</v>
      </c>
      <c r="D66" s="1">
        <v>2875.5371704101599</v>
      </c>
      <c r="E66">
        <v>32675791856</v>
      </c>
      <c r="F66">
        <v>11363369.6661063</v>
      </c>
      <c r="G66">
        <v>11363369.6567945</v>
      </c>
      <c r="H66" s="1">
        <v>15600000</v>
      </c>
    </row>
    <row r="67" spans="1:8" x14ac:dyDescent="0.3">
      <c r="A67">
        <v>501</v>
      </c>
      <c r="B67" t="s">
        <v>360</v>
      </c>
      <c r="C67" t="s">
        <v>361</v>
      </c>
      <c r="D67" s="1">
        <v>2948.125893116</v>
      </c>
      <c r="E67">
        <v>126118395348</v>
      </c>
      <c r="F67">
        <v>42779175.625604004</v>
      </c>
      <c r="G67">
        <v>42779175.977364004</v>
      </c>
      <c r="H67" s="1">
        <v>30000000</v>
      </c>
    </row>
    <row r="68" spans="1:8" x14ac:dyDescent="0.3">
      <c r="A68">
        <v>461</v>
      </c>
      <c r="B68" t="s">
        <v>322</v>
      </c>
      <c r="C68" t="s">
        <v>323</v>
      </c>
      <c r="D68" s="1">
        <v>2974.0777206420898</v>
      </c>
      <c r="E68">
        <v>177801687408</v>
      </c>
      <c r="F68">
        <v>59783806.648339197</v>
      </c>
      <c r="G68">
        <v>59783806.969382599</v>
      </c>
      <c r="H68" s="1">
        <v>32400000</v>
      </c>
    </row>
    <row r="69" spans="1:8" x14ac:dyDescent="0.3">
      <c r="A69">
        <v>32</v>
      </c>
      <c r="B69" t="s">
        <v>118</v>
      </c>
      <c r="C69" t="s">
        <v>119</v>
      </c>
      <c r="D69" s="1">
        <v>3079.8822908401498</v>
      </c>
      <c r="E69">
        <v>58281471792</v>
      </c>
      <c r="F69">
        <v>18923278.972490098</v>
      </c>
      <c r="G69">
        <v>18923278.812229499</v>
      </c>
      <c r="H69" s="1">
        <v>15600000</v>
      </c>
    </row>
    <row r="70" spans="1:8" x14ac:dyDescent="0.3">
      <c r="A70">
        <v>643</v>
      </c>
      <c r="B70" t="s">
        <v>417</v>
      </c>
      <c r="C70" t="s">
        <v>418</v>
      </c>
      <c r="D70" s="1">
        <v>3142.4735341072101</v>
      </c>
      <c r="E70">
        <v>167132451168</v>
      </c>
      <c r="F70">
        <v>53184998.808743604</v>
      </c>
      <c r="G70">
        <v>53184998.309467196</v>
      </c>
      <c r="H70" s="1">
        <v>48000000</v>
      </c>
    </row>
    <row r="71" spans="1:8" x14ac:dyDescent="0.3">
      <c r="A71">
        <v>553</v>
      </c>
      <c r="B71" t="s">
        <v>378</v>
      </c>
      <c r="C71" t="s">
        <v>379</v>
      </c>
      <c r="D71" s="1">
        <v>3230.05880403519</v>
      </c>
      <c r="E71">
        <v>54611551170</v>
      </c>
      <c r="F71">
        <v>16907293.174284</v>
      </c>
      <c r="G71">
        <v>16907293.430481099</v>
      </c>
      <c r="H71" s="1">
        <v>15600000</v>
      </c>
    </row>
    <row r="72" spans="1:8" x14ac:dyDescent="0.3">
      <c r="A72">
        <v>13</v>
      </c>
      <c r="B72" t="s">
        <v>102</v>
      </c>
      <c r="C72" t="s">
        <v>103</v>
      </c>
      <c r="D72" s="1">
        <v>3231.1205282211299</v>
      </c>
      <c r="E72">
        <v>93763623112</v>
      </c>
      <c r="F72">
        <v>29018918.450442601</v>
      </c>
      <c r="G72">
        <v>29018918.530712198</v>
      </c>
      <c r="H72" s="1">
        <v>15600000</v>
      </c>
    </row>
    <row r="73" spans="1:8" x14ac:dyDescent="0.3">
      <c r="A73">
        <v>431</v>
      </c>
      <c r="B73" t="s">
        <v>306</v>
      </c>
      <c r="C73" t="s">
        <v>307</v>
      </c>
      <c r="D73" s="1">
        <v>3248.2682905197098</v>
      </c>
      <c r="E73">
        <v>77644120832</v>
      </c>
      <c r="F73">
        <v>23903235.1664453</v>
      </c>
      <c r="G73">
        <v>23903235.439507399</v>
      </c>
      <c r="H73" s="1">
        <v>15600000</v>
      </c>
    </row>
    <row r="74" spans="1:8" x14ac:dyDescent="0.3">
      <c r="A74">
        <v>21</v>
      </c>
      <c r="B74" t="s">
        <v>110</v>
      </c>
      <c r="C74" t="s">
        <v>111</v>
      </c>
      <c r="D74" s="1">
        <v>3253.37783336639</v>
      </c>
      <c r="E74">
        <v>57907346234</v>
      </c>
      <c r="F74">
        <v>17799145.749413598</v>
      </c>
      <c r="G74">
        <v>17799145.677658401</v>
      </c>
      <c r="H74" s="1">
        <v>15600000</v>
      </c>
    </row>
    <row r="75" spans="1:8" x14ac:dyDescent="0.3">
      <c r="A75">
        <v>191</v>
      </c>
      <c r="B75" t="s">
        <v>189</v>
      </c>
      <c r="C75" t="s">
        <v>190</v>
      </c>
      <c r="D75" s="1">
        <v>3289.48606109619</v>
      </c>
      <c r="E75">
        <v>73271346624</v>
      </c>
      <c r="F75">
        <v>22274405.564613599</v>
      </c>
      <c r="G75">
        <v>22274405.572914701</v>
      </c>
      <c r="H75" s="1">
        <v>16800000</v>
      </c>
    </row>
    <row r="76" spans="1:8" x14ac:dyDescent="0.3">
      <c r="A76">
        <v>22</v>
      </c>
      <c r="B76" t="s">
        <v>112</v>
      </c>
      <c r="C76" t="s">
        <v>113</v>
      </c>
      <c r="D76" s="1">
        <v>3484.9209651946999</v>
      </c>
      <c r="E76">
        <v>189181834776</v>
      </c>
      <c r="F76">
        <v>54285832.208372697</v>
      </c>
      <c r="G76">
        <v>54285832.280785002</v>
      </c>
      <c r="H76" s="1">
        <v>17544000</v>
      </c>
    </row>
    <row r="77" spans="1:8" x14ac:dyDescent="0.3">
      <c r="A77">
        <v>639</v>
      </c>
      <c r="B77" t="s">
        <v>411</v>
      </c>
      <c r="C77" t="s">
        <v>412</v>
      </c>
      <c r="D77" s="1">
        <v>3714.89504051208</v>
      </c>
      <c r="E77">
        <v>119149853696</v>
      </c>
      <c r="F77">
        <v>32073545.1194808</v>
      </c>
      <c r="G77">
        <v>32073544.541499101</v>
      </c>
      <c r="H77" s="1">
        <v>33600000</v>
      </c>
    </row>
    <row r="78" spans="1:8" x14ac:dyDescent="0.3">
      <c r="A78">
        <v>292</v>
      </c>
      <c r="B78" t="s">
        <v>252</v>
      </c>
      <c r="C78" t="s">
        <v>253</v>
      </c>
      <c r="D78" s="1">
        <v>3754.66313314438</v>
      </c>
      <c r="E78">
        <v>87414507060</v>
      </c>
      <c r="F78">
        <v>23281584.515091699</v>
      </c>
      <c r="G78">
        <v>23281584.445031501</v>
      </c>
      <c r="H78" s="1">
        <v>18000000</v>
      </c>
    </row>
    <row r="79" spans="1:8" x14ac:dyDescent="0.3">
      <c r="A79">
        <v>15</v>
      </c>
      <c r="B79" t="s">
        <v>106</v>
      </c>
      <c r="C79" t="s">
        <v>107</v>
      </c>
      <c r="D79" s="1">
        <v>3830.6337518691998</v>
      </c>
      <c r="E79">
        <v>49840367312</v>
      </c>
      <c r="F79">
        <v>13010997.798387701</v>
      </c>
      <c r="G79">
        <v>13010997.7817837</v>
      </c>
      <c r="H79" s="1">
        <v>8400000</v>
      </c>
    </row>
    <row r="80" spans="1:8" x14ac:dyDescent="0.3">
      <c r="A80">
        <v>821</v>
      </c>
      <c r="B80" t="s">
        <v>492</v>
      </c>
      <c r="C80" t="s">
        <v>493</v>
      </c>
      <c r="D80" s="1">
        <v>3882.5545940399202</v>
      </c>
      <c r="E80">
        <v>119534983976</v>
      </c>
      <c r="F80">
        <v>30787714.913139202</v>
      </c>
      <c r="G80">
        <v>30787714.931810599</v>
      </c>
      <c r="H80" s="1">
        <v>15600000</v>
      </c>
    </row>
    <row r="81" spans="1:8" x14ac:dyDescent="0.3">
      <c r="A81">
        <v>192</v>
      </c>
      <c r="B81" t="s">
        <v>191</v>
      </c>
      <c r="C81" t="s">
        <v>192</v>
      </c>
      <c r="D81" s="1">
        <v>3929.76582574844</v>
      </c>
      <c r="E81">
        <v>144717090544</v>
      </c>
      <c r="F81">
        <v>36825881.4802121</v>
      </c>
      <c r="G81">
        <v>36825881.882120401</v>
      </c>
      <c r="H81" s="1">
        <v>18000000</v>
      </c>
    </row>
    <row r="82" spans="1:8" x14ac:dyDescent="0.3">
      <c r="A82">
        <v>613</v>
      </c>
      <c r="B82" t="s">
        <v>404</v>
      </c>
      <c r="C82" t="s">
        <v>405</v>
      </c>
      <c r="D82" s="1">
        <v>3953.6693139076201</v>
      </c>
      <c r="E82">
        <v>139557093126</v>
      </c>
      <c r="F82">
        <v>35298119.808626197</v>
      </c>
      <c r="G82">
        <v>35298119.106240399</v>
      </c>
      <c r="H82" s="1">
        <v>19200000</v>
      </c>
    </row>
    <row r="83" spans="1:8" x14ac:dyDescent="0.3">
      <c r="A83">
        <v>243</v>
      </c>
      <c r="B83" t="s">
        <v>212</v>
      </c>
      <c r="C83" t="s">
        <v>213</v>
      </c>
      <c r="D83" s="1">
        <v>4303.7753391265896</v>
      </c>
      <c r="E83">
        <v>93166865912</v>
      </c>
      <c r="F83">
        <v>21647706.6228339</v>
      </c>
      <c r="G83">
        <v>21647706.611159399</v>
      </c>
      <c r="H83" s="1">
        <v>18000000</v>
      </c>
    </row>
    <row r="84" spans="1:8" x14ac:dyDescent="0.3">
      <c r="A84">
        <v>321</v>
      </c>
      <c r="B84" t="s">
        <v>268</v>
      </c>
      <c r="C84" t="s">
        <v>269</v>
      </c>
      <c r="D84" s="1">
        <v>4624.4724121093795</v>
      </c>
      <c r="E84">
        <v>84774687924</v>
      </c>
      <c r="F84">
        <v>18331753.412997801</v>
      </c>
      <c r="G84">
        <v>18331753.4317104</v>
      </c>
      <c r="H84" s="1">
        <v>17544000</v>
      </c>
    </row>
    <row r="85" spans="1:8" x14ac:dyDescent="0.3">
      <c r="A85">
        <v>478</v>
      </c>
      <c r="B85" t="s">
        <v>350</v>
      </c>
      <c r="C85" t="s">
        <v>351</v>
      </c>
      <c r="D85" s="1">
        <v>5030.8997268676803</v>
      </c>
      <c r="E85">
        <v>60070204132</v>
      </c>
      <c r="F85">
        <v>11940250.7291476</v>
      </c>
      <c r="G85">
        <v>11940250.737191901</v>
      </c>
      <c r="H85" s="1">
        <v>11520000</v>
      </c>
    </row>
    <row r="86" spans="1:8" x14ac:dyDescent="0.3">
      <c r="A86">
        <v>662</v>
      </c>
      <c r="B86" t="s">
        <v>429</v>
      </c>
      <c r="C86" t="s">
        <v>430</v>
      </c>
      <c r="D86" s="1">
        <v>5188.1752381324804</v>
      </c>
      <c r="E86">
        <v>416017116624</v>
      </c>
      <c r="F86">
        <v>80185633.200344399</v>
      </c>
      <c r="G86">
        <v>80185633.124191299</v>
      </c>
      <c r="H86" s="1">
        <v>34800000</v>
      </c>
    </row>
    <row r="87" spans="1:8" x14ac:dyDescent="0.3">
      <c r="A87">
        <v>106</v>
      </c>
      <c r="B87" t="s">
        <v>152</v>
      </c>
      <c r="C87" t="s">
        <v>153</v>
      </c>
      <c r="D87" s="1">
        <v>5192.3265690803501</v>
      </c>
      <c r="E87">
        <v>121429823736</v>
      </c>
      <c r="F87">
        <v>23386399.549500499</v>
      </c>
      <c r="G87">
        <v>23386399.4358727</v>
      </c>
      <c r="H87" s="1">
        <v>18000000</v>
      </c>
    </row>
    <row r="88" spans="1:8" x14ac:dyDescent="0.3">
      <c r="A88">
        <v>952</v>
      </c>
      <c r="B88" t="s">
        <v>551</v>
      </c>
      <c r="C88" t="s">
        <v>552</v>
      </c>
      <c r="D88" s="1">
        <v>5394.9610235691098</v>
      </c>
      <c r="E88">
        <v>100786654440.5</v>
      </c>
      <c r="F88">
        <v>18681627.911710698</v>
      </c>
      <c r="G88">
        <v>18681627.884478401</v>
      </c>
      <c r="H88" s="1">
        <v>16800000</v>
      </c>
    </row>
    <row r="89" spans="1:8" x14ac:dyDescent="0.3">
      <c r="A89">
        <v>653</v>
      </c>
      <c r="B89" t="s">
        <v>425</v>
      </c>
      <c r="C89" t="s">
        <v>426</v>
      </c>
      <c r="D89" s="1">
        <v>5408.2413487434396</v>
      </c>
      <c r="E89">
        <v>469558990500</v>
      </c>
      <c r="F89">
        <v>86822861.670013696</v>
      </c>
      <c r="G89">
        <v>86822861.168673605</v>
      </c>
      <c r="H89" s="1">
        <v>48000000</v>
      </c>
    </row>
    <row r="90" spans="1:8" x14ac:dyDescent="0.3">
      <c r="A90">
        <v>291</v>
      </c>
      <c r="B90" t="s">
        <v>250</v>
      </c>
      <c r="C90" t="s">
        <v>251</v>
      </c>
      <c r="D90" s="1">
        <v>5492.5888843536404</v>
      </c>
      <c r="E90">
        <v>170012754368</v>
      </c>
      <c r="F90">
        <v>30953118.456089702</v>
      </c>
      <c r="G90">
        <v>30953118.373401199</v>
      </c>
      <c r="H90" s="1">
        <v>23400000</v>
      </c>
    </row>
    <row r="91" spans="1:8" x14ac:dyDescent="0.3">
      <c r="A91">
        <v>221</v>
      </c>
      <c r="B91" t="s">
        <v>200</v>
      </c>
      <c r="C91" t="s">
        <v>201</v>
      </c>
      <c r="D91" s="1">
        <v>5595.9224290847797</v>
      </c>
      <c r="E91">
        <v>121567442800</v>
      </c>
      <c r="F91">
        <v>21724290.202479199</v>
      </c>
      <c r="G91">
        <v>21724290.115496501</v>
      </c>
      <c r="H91" s="1">
        <v>15600000</v>
      </c>
    </row>
    <row r="92" spans="1:8" x14ac:dyDescent="0.3">
      <c r="A92">
        <v>271</v>
      </c>
      <c r="B92" t="s">
        <v>234</v>
      </c>
      <c r="C92" t="s">
        <v>235</v>
      </c>
      <c r="D92" s="1">
        <v>5897.6220674514798</v>
      </c>
      <c r="E92">
        <v>203934107544</v>
      </c>
      <c r="F92">
        <v>34579039.689487197</v>
      </c>
      <c r="G92">
        <v>34579039.536006398</v>
      </c>
      <c r="H92" s="1">
        <v>18000000</v>
      </c>
    </row>
    <row r="93" spans="1:8" x14ac:dyDescent="0.3">
      <c r="A93">
        <v>813</v>
      </c>
      <c r="B93" t="s">
        <v>490</v>
      </c>
      <c r="C93" t="s">
        <v>491</v>
      </c>
      <c r="D93" s="1">
        <v>6310.5377287864703</v>
      </c>
      <c r="E93">
        <v>115567902272</v>
      </c>
      <c r="F93">
        <v>18313479.3323269</v>
      </c>
      <c r="G93">
        <v>18313479.171064701</v>
      </c>
      <c r="H93" s="1">
        <v>15600000</v>
      </c>
    </row>
    <row r="94" spans="1:8" x14ac:dyDescent="0.3">
      <c r="A94">
        <v>951</v>
      </c>
      <c r="B94" t="s">
        <v>549</v>
      </c>
      <c r="C94" t="s">
        <v>550</v>
      </c>
      <c r="D94" s="1">
        <v>6399.73835325241</v>
      </c>
      <c r="E94">
        <v>156052725426</v>
      </c>
      <c r="F94">
        <v>24384235.231537599</v>
      </c>
      <c r="G94">
        <v>24384235.2831554</v>
      </c>
      <c r="H94" s="1">
        <v>19200000</v>
      </c>
    </row>
    <row r="95" spans="1:8" x14ac:dyDescent="0.3">
      <c r="A95">
        <v>663</v>
      </c>
      <c r="B95" t="s">
        <v>431</v>
      </c>
      <c r="C95" t="s">
        <v>432</v>
      </c>
      <c r="D95" s="1">
        <v>6406.1687405109396</v>
      </c>
      <c r="E95">
        <v>286130866728</v>
      </c>
      <c r="F95">
        <v>44664896.9638566</v>
      </c>
      <c r="G95">
        <v>44664897.148995802</v>
      </c>
      <c r="H95" s="1">
        <v>30600000</v>
      </c>
    </row>
    <row r="96" spans="1:8" x14ac:dyDescent="0.3">
      <c r="A96">
        <v>900</v>
      </c>
      <c r="B96" t="s">
        <v>536</v>
      </c>
      <c r="C96" t="s">
        <v>85</v>
      </c>
      <c r="D96" s="1">
        <v>6716.6488895416296</v>
      </c>
      <c r="E96">
        <v>248332373342</v>
      </c>
      <c r="F96">
        <v>36972659.644108199</v>
      </c>
      <c r="G96">
        <v>36972659.797998898</v>
      </c>
      <c r="H96" s="1">
        <v>21600000</v>
      </c>
    </row>
    <row r="97" spans="1:8" x14ac:dyDescent="0.3">
      <c r="A97">
        <v>312</v>
      </c>
      <c r="B97" t="s">
        <v>266</v>
      </c>
      <c r="C97" t="s">
        <v>267</v>
      </c>
      <c r="D97" s="1">
        <v>6748.71382951737</v>
      </c>
      <c r="E97">
        <v>130797780336</v>
      </c>
      <c r="F97">
        <v>19381141.894611001</v>
      </c>
      <c r="G97">
        <v>19381141.648670301</v>
      </c>
      <c r="H97" s="1">
        <v>15600000</v>
      </c>
    </row>
    <row r="98" spans="1:8" x14ac:dyDescent="0.3">
      <c r="A98">
        <v>309</v>
      </c>
      <c r="B98" t="s">
        <v>262</v>
      </c>
      <c r="C98" t="s">
        <v>263</v>
      </c>
      <c r="D98" s="1">
        <v>6760.0866522789001</v>
      </c>
      <c r="E98">
        <v>156702817364</v>
      </c>
      <c r="F98">
        <v>23180593.0048506</v>
      </c>
      <c r="G98">
        <v>23180592.845439199</v>
      </c>
      <c r="H98" s="1">
        <v>18000000</v>
      </c>
    </row>
    <row r="99" spans="1:8" x14ac:dyDescent="0.3">
      <c r="A99">
        <v>439</v>
      </c>
      <c r="B99" t="s">
        <v>312</v>
      </c>
      <c r="C99" t="s">
        <v>313</v>
      </c>
      <c r="D99" s="1">
        <v>6933.1288790702802</v>
      </c>
      <c r="E99">
        <v>226732995640</v>
      </c>
      <c r="F99">
        <v>32702838.731941201</v>
      </c>
      <c r="G99">
        <v>32702839.019598</v>
      </c>
      <c r="H99" s="1">
        <v>21600000</v>
      </c>
    </row>
    <row r="100" spans="1:8" x14ac:dyDescent="0.3">
      <c r="A100">
        <v>732</v>
      </c>
      <c r="B100" t="s">
        <v>455</v>
      </c>
      <c r="C100" t="s">
        <v>456</v>
      </c>
      <c r="D100" s="1">
        <v>6955.4930849075299</v>
      </c>
      <c r="E100">
        <v>325049757072</v>
      </c>
      <c r="F100">
        <v>46732812.915494598</v>
      </c>
      <c r="G100">
        <v>46732812.871953398</v>
      </c>
      <c r="H100" s="1">
        <v>24000000</v>
      </c>
    </row>
    <row r="101" spans="1:8" x14ac:dyDescent="0.3">
      <c r="A101">
        <v>741</v>
      </c>
      <c r="B101" t="s">
        <v>457</v>
      </c>
      <c r="C101" t="s">
        <v>458</v>
      </c>
      <c r="D101" s="1">
        <v>6976.42729520798</v>
      </c>
      <c r="E101">
        <v>182069019883</v>
      </c>
      <c r="F101">
        <v>26097744.9027615</v>
      </c>
      <c r="G101">
        <v>26097744.937981199</v>
      </c>
      <c r="H101" s="1">
        <v>20400000</v>
      </c>
    </row>
    <row r="102" spans="1:8" x14ac:dyDescent="0.3">
      <c r="A102">
        <v>512</v>
      </c>
      <c r="B102" t="s">
        <v>366</v>
      </c>
      <c r="C102" t="s">
        <v>367</v>
      </c>
      <c r="D102" s="1">
        <v>7028.6046745777103</v>
      </c>
      <c r="E102">
        <v>295943125315</v>
      </c>
      <c r="F102">
        <v>42105530.047154203</v>
      </c>
      <c r="G102">
        <v>42105529.719931498</v>
      </c>
      <c r="H102" s="1">
        <v>18000000</v>
      </c>
    </row>
    <row r="103" spans="1:8" x14ac:dyDescent="0.3">
      <c r="A103">
        <v>81</v>
      </c>
      <c r="B103" t="s">
        <v>132</v>
      </c>
      <c r="C103" t="s">
        <v>133</v>
      </c>
      <c r="D103" s="1">
        <v>7111.8194935321799</v>
      </c>
      <c r="E103">
        <v>163213588487</v>
      </c>
      <c r="F103">
        <v>22949624.724788699</v>
      </c>
      <c r="G103">
        <v>22949624.618916798</v>
      </c>
      <c r="H103" s="1">
        <v>15600000</v>
      </c>
    </row>
    <row r="104" spans="1:8" x14ac:dyDescent="0.3">
      <c r="A104">
        <v>990</v>
      </c>
      <c r="B104" t="s">
        <v>555</v>
      </c>
      <c r="C104" t="s">
        <v>93</v>
      </c>
      <c r="D104" s="1">
        <v>7366.2776408195496</v>
      </c>
      <c r="E104">
        <v>697068170044</v>
      </c>
      <c r="F104">
        <v>94629635.758128494</v>
      </c>
      <c r="G104">
        <v>94629636.703766301</v>
      </c>
      <c r="H104" s="1">
        <v>66492000</v>
      </c>
    </row>
    <row r="105" spans="1:8" x14ac:dyDescent="0.3">
      <c r="A105">
        <v>102</v>
      </c>
      <c r="B105" t="s">
        <v>144</v>
      </c>
      <c r="C105" t="s">
        <v>145</v>
      </c>
      <c r="D105" s="1">
        <v>7516.5607995986902</v>
      </c>
      <c r="E105">
        <v>181368722832</v>
      </c>
      <c r="F105">
        <v>24129216.4950868</v>
      </c>
      <c r="G105">
        <v>24129216.660002999</v>
      </c>
      <c r="H105" s="1">
        <v>15600000</v>
      </c>
    </row>
    <row r="106" spans="1:8" x14ac:dyDescent="0.3">
      <c r="A106">
        <v>721</v>
      </c>
      <c r="B106" t="s">
        <v>449</v>
      </c>
      <c r="C106" t="s">
        <v>450</v>
      </c>
      <c r="D106" s="1">
        <v>8141.6393554210699</v>
      </c>
      <c r="E106">
        <v>498350178362</v>
      </c>
      <c r="F106">
        <v>61210053.234570801</v>
      </c>
      <c r="G106">
        <v>61210052.887050003</v>
      </c>
      <c r="H106" s="1">
        <v>40680000</v>
      </c>
    </row>
    <row r="107" spans="1:8" x14ac:dyDescent="0.3">
      <c r="A107">
        <v>383</v>
      </c>
      <c r="B107" t="s">
        <v>296</v>
      </c>
      <c r="C107" t="s">
        <v>297</v>
      </c>
      <c r="D107" s="1">
        <v>8169.6749129295304</v>
      </c>
      <c r="E107">
        <v>141825490190</v>
      </c>
      <c r="F107">
        <v>17359991.884810898</v>
      </c>
      <c r="G107">
        <v>17359991.8147109</v>
      </c>
      <c r="H107" s="1">
        <v>15600000</v>
      </c>
    </row>
    <row r="108" spans="1:8" x14ac:dyDescent="0.3">
      <c r="A108">
        <v>281</v>
      </c>
      <c r="B108" t="s">
        <v>246</v>
      </c>
      <c r="C108" t="s">
        <v>247</v>
      </c>
      <c r="D108" s="1">
        <v>8216.3519239425696</v>
      </c>
      <c r="E108">
        <v>261940109768</v>
      </c>
      <c r="F108">
        <v>31880342.053594701</v>
      </c>
      <c r="G108">
        <v>31880342.2253608</v>
      </c>
      <c r="H108" s="1">
        <v>21600000</v>
      </c>
    </row>
    <row r="109" spans="1:8" x14ac:dyDescent="0.3">
      <c r="A109">
        <v>602</v>
      </c>
      <c r="B109" t="s">
        <v>398</v>
      </c>
      <c r="C109" t="s">
        <v>399</v>
      </c>
      <c r="D109" s="1">
        <v>8226.60468912125</v>
      </c>
      <c r="E109">
        <v>343633424376</v>
      </c>
      <c r="F109">
        <v>41770990.264114201</v>
      </c>
      <c r="G109">
        <v>41770990.501118101</v>
      </c>
      <c r="H109" s="1">
        <v>36000000</v>
      </c>
    </row>
    <row r="110" spans="1:8" x14ac:dyDescent="0.3">
      <c r="A110">
        <v>750</v>
      </c>
      <c r="B110" t="s">
        <v>463</v>
      </c>
      <c r="C110" t="s">
        <v>73</v>
      </c>
      <c r="D110" s="1">
        <v>8370.4826154708899</v>
      </c>
      <c r="E110">
        <v>224020552112</v>
      </c>
      <c r="F110">
        <v>26763158.398770299</v>
      </c>
      <c r="G110">
        <v>26763158.5717314</v>
      </c>
      <c r="H110" s="1">
        <v>21600000</v>
      </c>
    </row>
    <row r="111" spans="1:8" x14ac:dyDescent="0.3">
      <c r="A111">
        <v>469</v>
      </c>
      <c r="B111" t="s">
        <v>334</v>
      </c>
      <c r="C111" t="s">
        <v>335</v>
      </c>
      <c r="D111" s="1">
        <v>8596.7997601032293</v>
      </c>
      <c r="E111">
        <v>335863909028</v>
      </c>
      <c r="F111">
        <v>39068481.109296799</v>
      </c>
      <c r="G111">
        <v>39068481.417565003</v>
      </c>
      <c r="H111" s="1">
        <v>18000000</v>
      </c>
    </row>
    <row r="112" spans="1:8" x14ac:dyDescent="0.3">
      <c r="A112">
        <v>661</v>
      </c>
      <c r="B112" t="s">
        <v>427</v>
      </c>
      <c r="C112" t="s">
        <v>428</v>
      </c>
      <c r="D112" s="1">
        <v>8727.5066056251508</v>
      </c>
      <c r="E112">
        <v>478254757616</v>
      </c>
      <c r="F112">
        <v>54798555.787714899</v>
      </c>
      <c r="G112">
        <v>54798556.253550097</v>
      </c>
      <c r="H112" s="1">
        <v>39600000</v>
      </c>
    </row>
    <row r="113" spans="1:8" x14ac:dyDescent="0.3">
      <c r="A113">
        <v>282</v>
      </c>
      <c r="B113" t="s">
        <v>248</v>
      </c>
      <c r="C113" t="s">
        <v>249</v>
      </c>
      <c r="D113" s="1">
        <v>9081.0300579071009</v>
      </c>
      <c r="E113">
        <v>266201928952</v>
      </c>
      <c r="F113">
        <v>29314067.595251501</v>
      </c>
      <c r="G113">
        <v>29314067.367896602</v>
      </c>
      <c r="H113" s="1">
        <v>19200000</v>
      </c>
    </row>
    <row r="114" spans="1:8" x14ac:dyDescent="0.3">
      <c r="A114">
        <v>581</v>
      </c>
      <c r="B114" t="s">
        <v>388</v>
      </c>
      <c r="C114" t="s">
        <v>389</v>
      </c>
      <c r="D114" s="1">
        <v>9378.6915631294305</v>
      </c>
      <c r="E114">
        <v>475208358584</v>
      </c>
      <c r="F114">
        <v>50668939.8393474</v>
      </c>
      <c r="G114">
        <v>50668939.834526703</v>
      </c>
      <c r="H114" s="1">
        <v>36000000</v>
      </c>
    </row>
    <row r="115" spans="1:8" x14ac:dyDescent="0.3">
      <c r="A115">
        <v>16</v>
      </c>
      <c r="B115" t="s">
        <v>108</v>
      </c>
      <c r="C115" t="s">
        <v>109</v>
      </c>
      <c r="D115" s="1">
        <v>9580.6732172966003</v>
      </c>
      <c r="E115">
        <v>138488816328</v>
      </c>
      <c r="F115">
        <v>14455019.306782899</v>
      </c>
      <c r="G115">
        <v>14455019.341849901</v>
      </c>
      <c r="H115" s="1">
        <v>13920000</v>
      </c>
    </row>
    <row r="116" spans="1:8" x14ac:dyDescent="0.3">
      <c r="A116">
        <v>631</v>
      </c>
      <c r="B116" t="s">
        <v>409</v>
      </c>
      <c r="C116" t="s">
        <v>410</v>
      </c>
      <c r="D116" s="1">
        <v>9624.5996108055097</v>
      </c>
      <c r="E116">
        <v>587817760978</v>
      </c>
      <c r="F116">
        <v>61074515.797837302</v>
      </c>
      <c r="G116">
        <v>61074515.816796303</v>
      </c>
      <c r="H116" s="1">
        <v>38400000</v>
      </c>
    </row>
    <row r="117" spans="1:8" x14ac:dyDescent="0.3">
      <c r="A117">
        <v>241</v>
      </c>
      <c r="B117" t="s">
        <v>208</v>
      </c>
      <c r="C117" t="s">
        <v>209</v>
      </c>
      <c r="D117" s="1">
        <v>9748.5646271705591</v>
      </c>
      <c r="E117">
        <v>267435865280</v>
      </c>
      <c r="F117">
        <v>27433358.1925097</v>
      </c>
      <c r="G117">
        <v>27433358.1846232</v>
      </c>
      <c r="H117" s="1">
        <v>21000000</v>
      </c>
    </row>
    <row r="118" spans="1:8" x14ac:dyDescent="0.3">
      <c r="A118">
        <v>873</v>
      </c>
      <c r="B118" t="s">
        <v>528</v>
      </c>
      <c r="C118" t="s">
        <v>529</v>
      </c>
      <c r="D118" s="1">
        <v>10122.085397958799</v>
      </c>
      <c r="E118">
        <v>192430956904</v>
      </c>
      <c r="F118">
        <v>19010999.150709201</v>
      </c>
      <c r="G118">
        <v>19010999.112001002</v>
      </c>
      <c r="H118" s="1">
        <v>15600000</v>
      </c>
    </row>
    <row r="119" spans="1:8" x14ac:dyDescent="0.3">
      <c r="A119">
        <v>293</v>
      </c>
      <c r="B119" t="s">
        <v>254</v>
      </c>
      <c r="C119" t="s">
        <v>255</v>
      </c>
      <c r="D119" s="1">
        <v>10293.916613101999</v>
      </c>
      <c r="E119">
        <v>241707762592</v>
      </c>
      <c r="F119">
        <v>23480641.205540501</v>
      </c>
      <c r="G119">
        <v>23480641.134192001</v>
      </c>
      <c r="H119" s="1">
        <v>19200000</v>
      </c>
    </row>
    <row r="120" spans="1:8" x14ac:dyDescent="0.3">
      <c r="A120">
        <v>329</v>
      </c>
      <c r="B120" t="s">
        <v>278</v>
      </c>
      <c r="C120" t="s">
        <v>279</v>
      </c>
      <c r="D120" s="1">
        <v>11060.704651832601</v>
      </c>
      <c r="E120">
        <v>200772193536</v>
      </c>
      <c r="F120">
        <v>18151844.738276701</v>
      </c>
      <c r="G120">
        <v>18151844.726446699</v>
      </c>
      <c r="H120" s="1">
        <v>15600000</v>
      </c>
    </row>
    <row r="121" spans="1:8" x14ac:dyDescent="0.3">
      <c r="A121">
        <v>422</v>
      </c>
      <c r="B121" t="s">
        <v>302</v>
      </c>
      <c r="C121" t="s">
        <v>303</v>
      </c>
      <c r="D121" s="1">
        <v>11372.783164501199</v>
      </c>
      <c r="E121">
        <v>351430142496</v>
      </c>
      <c r="F121">
        <v>30900979.770101301</v>
      </c>
      <c r="G121">
        <v>30900979.696897399</v>
      </c>
      <c r="H121" s="1">
        <v>21600000</v>
      </c>
    </row>
    <row r="122" spans="1:8" x14ac:dyDescent="0.3">
      <c r="A122">
        <v>325</v>
      </c>
      <c r="B122" t="s">
        <v>276</v>
      </c>
      <c r="C122" t="s">
        <v>277</v>
      </c>
      <c r="D122" s="1">
        <v>11538.218901157399</v>
      </c>
      <c r="E122">
        <v>462370279848</v>
      </c>
      <c r="F122">
        <v>40072933.596503399</v>
      </c>
      <c r="G122">
        <v>40072933.571596898</v>
      </c>
      <c r="H122" s="1">
        <v>21600000</v>
      </c>
    </row>
    <row r="123" spans="1:8" x14ac:dyDescent="0.3">
      <c r="A123">
        <v>103</v>
      </c>
      <c r="B123" t="s">
        <v>146</v>
      </c>
      <c r="C123" t="s">
        <v>147</v>
      </c>
      <c r="D123" s="1">
        <v>11812.1736121178</v>
      </c>
      <c r="E123">
        <v>271646298784</v>
      </c>
      <c r="F123">
        <v>22997147.494117901</v>
      </c>
      <c r="G123">
        <v>22997147.511656899</v>
      </c>
      <c r="H123" s="1">
        <v>18720000</v>
      </c>
    </row>
    <row r="124" spans="1:8" x14ac:dyDescent="0.3">
      <c r="A124">
        <v>582</v>
      </c>
      <c r="B124" t="s">
        <v>390</v>
      </c>
      <c r="C124" t="s">
        <v>391</v>
      </c>
      <c r="D124" s="1">
        <v>11829.5693130493</v>
      </c>
      <c r="E124">
        <v>836977343640</v>
      </c>
      <c r="F124">
        <v>70752985.293954998</v>
      </c>
      <c r="G124">
        <v>70752985.423867702</v>
      </c>
      <c r="H124" s="1">
        <v>54000000</v>
      </c>
    </row>
    <row r="125" spans="1:8" x14ac:dyDescent="0.3">
      <c r="A125">
        <v>910</v>
      </c>
      <c r="B125" t="s">
        <v>537</v>
      </c>
      <c r="C125" t="s">
        <v>86</v>
      </c>
      <c r="D125" s="1">
        <v>11977.305493354799</v>
      </c>
      <c r="E125">
        <v>300158072570</v>
      </c>
      <c r="F125">
        <v>25060567.482104599</v>
      </c>
      <c r="G125">
        <v>25060567.502760202</v>
      </c>
      <c r="H125" s="1">
        <v>16800000</v>
      </c>
    </row>
    <row r="126" spans="1:8" x14ac:dyDescent="0.3">
      <c r="A126">
        <v>601</v>
      </c>
      <c r="B126" t="s">
        <v>396</v>
      </c>
      <c r="C126" t="s">
        <v>397</v>
      </c>
      <c r="D126" s="1">
        <v>12013.226660251599</v>
      </c>
      <c r="E126">
        <v>752535548142</v>
      </c>
      <c r="F126">
        <v>62642250.0319525</v>
      </c>
      <c r="G126">
        <v>62642251.261032403</v>
      </c>
      <c r="H126" s="1">
        <v>21600000</v>
      </c>
    </row>
    <row r="127" spans="1:8" x14ac:dyDescent="0.3">
      <c r="A127">
        <v>275</v>
      </c>
      <c r="B127" t="s">
        <v>242</v>
      </c>
      <c r="C127" t="s">
        <v>243</v>
      </c>
      <c r="D127" s="1">
        <v>12512.0570259094</v>
      </c>
      <c r="E127">
        <v>351142928668</v>
      </c>
      <c r="F127">
        <v>28064364.471874502</v>
      </c>
      <c r="G127">
        <v>28064364.461415201</v>
      </c>
      <c r="H127" s="1">
        <v>20400000</v>
      </c>
    </row>
    <row r="128" spans="1:8" x14ac:dyDescent="0.3">
      <c r="A128">
        <v>591</v>
      </c>
      <c r="B128" t="s">
        <v>392</v>
      </c>
      <c r="C128" t="s">
        <v>393</v>
      </c>
      <c r="D128" s="1">
        <v>12691.478826999701</v>
      </c>
      <c r="E128">
        <v>452982875112</v>
      </c>
      <c r="F128">
        <v>35691890.699792303</v>
      </c>
      <c r="G128">
        <v>35691890.668112896</v>
      </c>
      <c r="H128" s="1">
        <v>28800000</v>
      </c>
    </row>
    <row r="129" spans="1:8" x14ac:dyDescent="0.3">
      <c r="A129">
        <v>433</v>
      </c>
      <c r="B129" t="s">
        <v>310</v>
      </c>
      <c r="C129" t="s">
        <v>311</v>
      </c>
      <c r="D129" s="1">
        <v>12768.1922049522</v>
      </c>
      <c r="E129">
        <v>366072576412</v>
      </c>
      <c r="F129">
        <v>28670666.1785696</v>
      </c>
      <c r="G129">
        <v>28670665.968603</v>
      </c>
      <c r="H129" s="1">
        <v>16800000</v>
      </c>
    </row>
    <row r="130" spans="1:8" x14ac:dyDescent="0.3">
      <c r="A130">
        <v>109</v>
      </c>
      <c r="B130" t="s">
        <v>158</v>
      </c>
      <c r="C130" t="s">
        <v>159</v>
      </c>
      <c r="D130" s="1">
        <v>12934.868766784701</v>
      </c>
      <c r="E130">
        <v>410868168760</v>
      </c>
      <c r="F130">
        <v>31764386.339586601</v>
      </c>
      <c r="G130">
        <v>31764386.407706998</v>
      </c>
      <c r="H130" s="1">
        <v>17400000</v>
      </c>
    </row>
    <row r="131" spans="1:8" x14ac:dyDescent="0.3">
      <c r="A131">
        <v>773</v>
      </c>
      <c r="B131" t="s">
        <v>468</v>
      </c>
      <c r="C131" t="s">
        <v>469</v>
      </c>
      <c r="D131" s="1">
        <v>13015.2152943611</v>
      </c>
      <c r="E131">
        <v>288793178554</v>
      </c>
      <c r="F131">
        <v>22188889.851028498</v>
      </c>
      <c r="G131">
        <v>22188889.994796999</v>
      </c>
      <c r="H131" s="1">
        <v>16800000</v>
      </c>
    </row>
    <row r="132" spans="1:8" x14ac:dyDescent="0.3">
      <c r="A132">
        <v>201</v>
      </c>
      <c r="B132" t="s">
        <v>193</v>
      </c>
      <c r="C132" t="s">
        <v>194</v>
      </c>
      <c r="D132" s="1">
        <v>13069.188708305401</v>
      </c>
      <c r="E132">
        <v>409290623364</v>
      </c>
      <c r="F132">
        <v>31317217.349834401</v>
      </c>
      <c r="G132">
        <v>31317217.4202873</v>
      </c>
      <c r="H132" s="1">
        <v>21600000</v>
      </c>
    </row>
    <row r="133" spans="1:8" x14ac:dyDescent="0.3">
      <c r="A133">
        <v>476</v>
      </c>
      <c r="B133" t="s">
        <v>346</v>
      </c>
      <c r="C133" t="s">
        <v>347</v>
      </c>
      <c r="D133" s="1">
        <v>13521.032116889901</v>
      </c>
      <c r="E133">
        <v>449563348236</v>
      </c>
      <c r="F133">
        <v>33249188.697246201</v>
      </c>
      <c r="G133">
        <v>33249188.5540911</v>
      </c>
      <c r="H133" s="1">
        <v>15600000</v>
      </c>
    </row>
    <row r="134" spans="1:8" x14ac:dyDescent="0.3">
      <c r="A134">
        <v>139</v>
      </c>
      <c r="B134" t="s">
        <v>164</v>
      </c>
      <c r="C134" t="s">
        <v>165</v>
      </c>
      <c r="D134" s="1">
        <v>13618.097515523399</v>
      </c>
      <c r="E134">
        <v>298094237217</v>
      </c>
      <c r="F134">
        <v>21889565.475441702</v>
      </c>
      <c r="G134">
        <v>21889565.395210199</v>
      </c>
      <c r="H134" s="1">
        <v>16680000</v>
      </c>
    </row>
    <row r="135" spans="1:8" x14ac:dyDescent="0.3">
      <c r="A135">
        <v>151</v>
      </c>
      <c r="B135" t="s">
        <v>172</v>
      </c>
      <c r="C135" t="s">
        <v>173</v>
      </c>
      <c r="D135" s="1">
        <v>13839.351658821101</v>
      </c>
      <c r="E135">
        <v>270716782360</v>
      </c>
      <c r="F135">
        <v>19561377.514924798</v>
      </c>
      <c r="G135">
        <v>19561377.518296499</v>
      </c>
      <c r="H135" s="1">
        <v>16800000</v>
      </c>
    </row>
    <row r="136" spans="1:8" x14ac:dyDescent="0.3">
      <c r="A136">
        <v>105</v>
      </c>
      <c r="B136" t="s">
        <v>150</v>
      </c>
      <c r="C136" t="s">
        <v>151</v>
      </c>
      <c r="D136" s="1">
        <v>14016.217797994599</v>
      </c>
      <c r="E136">
        <v>371539185500</v>
      </c>
      <c r="F136">
        <v>26507806.2323745</v>
      </c>
      <c r="G136">
        <v>26507806.354636699</v>
      </c>
      <c r="H136" s="1">
        <v>15600000</v>
      </c>
    </row>
    <row r="137" spans="1:8" x14ac:dyDescent="0.3">
      <c r="A137">
        <v>712</v>
      </c>
      <c r="B137" t="s">
        <v>447</v>
      </c>
      <c r="C137" t="s">
        <v>448</v>
      </c>
      <c r="D137" s="1">
        <v>14132.921260356899</v>
      </c>
      <c r="E137">
        <v>403306616132</v>
      </c>
      <c r="F137">
        <v>28536677.499455299</v>
      </c>
      <c r="G137">
        <v>28536677.563816398</v>
      </c>
      <c r="H137" s="1">
        <v>21600000</v>
      </c>
    </row>
    <row r="138" spans="1:8" x14ac:dyDescent="0.3">
      <c r="A138">
        <v>181</v>
      </c>
      <c r="B138" t="s">
        <v>187</v>
      </c>
      <c r="C138" t="s">
        <v>188</v>
      </c>
      <c r="D138" s="1">
        <v>14227.397269249001</v>
      </c>
      <c r="E138">
        <v>320827606670</v>
      </c>
      <c r="F138">
        <v>22549985.819502998</v>
      </c>
      <c r="G138">
        <v>22549985.804338399</v>
      </c>
      <c r="H138" s="1">
        <v>18000000</v>
      </c>
    </row>
    <row r="139" spans="1:8" x14ac:dyDescent="0.3">
      <c r="A139">
        <v>681</v>
      </c>
      <c r="B139" t="s">
        <v>433</v>
      </c>
      <c r="C139" t="s">
        <v>434</v>
      </c>
      <c r="D139" s="1">
        <v>14328.6742353439</v>
      </c>
      <c r="E139">
        <v>686243316696</v>
      </c>
      <c r="F139">
        <v>47893008.482478604</v>
      </c>
      <c r="G139">
        <v>47893008.369268797</v>
      </c>
      <c r="H139" s="1">
        <v>22800000</v>
      </c>
    </row>
    <row r="140" spans="1:8" x14ac:dyDescent="0.3">
      <c r="A140">
        <v>563</v>
      </c>
      <c r="B140" t="s">
        <v>386</v>
      </c>
      <c r="C140" t="s">
        <v>387</v>
      </c>
      <c r="D140" s="1">
        <v>14461.8269290924</v>
      </c>
      <c r="E140">
        <v>257580452448.25</v>
      </c>
      <c r="F140">
        <v>17811058.983846899</v>
      </c>
      <c r="G140">
        <v>17811058.908333499</v>
      </c>
      <c r="H140" s="1">
        <v>15600000</v>
      </c>
    </row>
    <row r="141" spans="1:8" x14ac:dyDescent="0.3">
      <c r="A141">
        <v>782</v>
      </c>
      <c r="B141" t="s">
        <v>474</v>
      </c>
      <c r="C141" t="s">
        <v>475</v>
      </c>
      <c r="D141" s="1">
        <v>14477.207428932201</v>
      </c>
      <c r="E141">
        <v>536757590928</v>
      </c>
      <c r="F141">
        <v>37076044.780245997</v>
      </c>
      <c r="G141">
        <v>37076044.462119602</v>
      </c>
      <c r="H141" s="1">
        <v>21600000</v>
      </c>
    </row>
    <row r="142" spans="1:8" x14ac:dyDescent="0.3">
      <c r="A142">
        <v>231</v>
      </c>
      <c r="B142" t="s">
        <v>204</v>
      </c>
      <c r="C142" t="s">
        <v>205</v>
      </c>
      <c r="D142" s="1">
        <v>14755.189620494801</v>
      </c>
      <c r="E142">
        <v>402962149112</v>
      </c>
      <c r="F142">
        <v>27309859.071705099</v>
      </c>
      <c r="G142">
        <v>27309859.3584373</v>
      </c>
      <c r="H142" s="1">
        <v>18000000</v>
      </c>
    </row>
    <row r="143" spans="1:8" x14ac:dyDescent="0.3">
      <c r="A143">
        <v>823</v>
      </c>
      <c r="B143" t="s">
        <v>496</v>
      </c>
      <c r="C143" t="s">
        <v>497</v>
      </c>
      <c r="D143" s="1">
        <v>14874.2553009987</v>
      </c>
      <c r="E143">
        <v>311401679810</v>
      </c>
      <c r="F143">
        <v>20935614.8263162</v>
      </c>
      <c r="G143">
        <v>20935614.8368714</v>
      </c>
      <c r="H143" s="1">
        <v>15600000</v>
      </c>
    </row>
    <row r="144" spans="1:8" x14ac:dyDescent="0.3">
      <c r="A144">
        <v>521</v>
      </c>
      <c r="B144" t="s">
        <v>368</v>
      </c>
      <c r="C144" t="s">
        <v>369</v>
      </c>
      <c r="D144" s="1">
        <v>15064.950611352901</v>
      </c>
      <c r="E144">
        <v>465200460388</v>
      </c>
      <c r="F144">
        <v>30879653.866068799</v>
      </c>
      <c r="G144">
        <v>30879653.664554901</v>
      </c>
      <c r="H144" s="1">
        <v>18000000</v>
      </c>
    </row>
    <row r="145" spans="1:8" x14ac:dyDescent="0.3">
      <c r="A145">
        <v>91</v>
      </c>
      <c r="B145" t="s">
        <v>138</v>
      </c>
      <c r="C145" t="s">
        <v>139</v>
      </c>
      <c r="D145" s="1">
        <v>15305.212128639199</v>
      </c>
      <c r="E145">
        <v>931091690220</v>
      </c>
      <c r="F145">
        <v>60834941.874326199</v>
      </c>
      <c r="G145">
        <v>60834941.869274899</v>
      </c>
      <c r="H145" s="1">
        <v>38400000</v>
      </c>
    </row>
    <row r="146" spans="1:8" x14ac:dyDescent="0.3">
      <c r="A146">
        <v>843</v>
      </c>
      <c r="B146" t="s">
        <v>504</v>
      </c>
      <c r="C146" t="s">
        <v>505</v>
      </c>
      <c r="D146" s="1">
        <v>15456.4331384897</v>
      </c>
      <c r="E146">
        <v>491302916149</v>
      </c>
      <c r="F146">
        <v>31786306.177299999</v>
      </c>
      <c r="G146">
        <v>31786306.158210602</v>
      </c>
      <c r="H146" s="1">
        <v>20400000</v>
      </c>
    </row>
    <row r="147" spans="1:8" x14ac:dyDescent="0.3">
      <c r="A147">
        <v>462</v>
      </c>
      <c r="B147" t="s">
        <v>324</v>
      </c>
      <c r="C147" t="s">
        <v>325</v>
      </c>
      <c r="D147" s="1">
        <v>15837.2503652573</v>
      </c>
      <c r="E147">
        <v>474014845600</v>
      </c>
      <c r="F147">
        <v>29930375.2019898</v>
      </c>
      <c r="G147">
        <v>29930375.359639902</v>
      </c>
      <c r="H147" s="1">
        <v>18000000</v>
      </c>
    </row>
    <row r="148" spans="1:8" x14ac:dyDescent="0.3">
      <c r="A148">
        <v>619</v>
      </c>
      <c r="B148" t="s">
        <v>406</v>
      </c>
      <c r="C148" t="s">
        <v>407</v>
      </c>
      <c r="D148" s="1">
        <v>17200.529763460199</v>
      </c>
      <c r="E148">
        <v>627333861248</v>
      </c>
      <c r="F148">
        <v>36471775.571742699</v>
      </c>
      <c r="G148">
        <v>36471775.868073598</v>
      </c>
      <c r="H148" s="1">
        <v>21600000</v>
      </c>
    </row>
    <row r="149" spans="1:8" x14ac:dyDescent="0.3">
      <c r="A149">
        <v>562</v>
      </c>
      <c r="B149" t="s">
        <v>384</v>
      </c>
      <c r="C149" t="s">
        <v>385</v>
      </c>
      <c r="D149" s="1">
        <v>17819.147583961501</v>
      </c>
      <c r="E149">
        <v>457479497698</v>
      </c>
      <c r="F149">
        <v>25673478.2369592</v>
      </c>
      <c r="G149">
        <v>25673478.3556334</v>
      </c>
      <c r="H149" s="1">
        <v>15600000</v>
      </c>
    </row>
    <row r="150" spans="1:8" x14ac:dyDescent="0.3">
      <c r="A150">
        <v>791</v>
      </c>
      <c r="B150" t="s">
        <v>478</v>
      </c>
      <c r="C150" t="s">
        <v>479</v>
      </c>
      <c r="D150" s="1">
        <v>18250.404798507701</v>
      </c>
      <c r="E150">
        <v>655255551752</v>
      </c>
      <c r="F150">
        <v>35903617.425821699</v>
      </c>
      <c r="G150">
        <v>35903617.301452696</v>
      </c>
      <c r="H150" s="1">
        <v>24000000</v>
      </c>
    </row>
    <row r="151" spans="1:8" x14ac:dyDescent="0.3">
      <c r="A151">
        <v>781</v>
      </c>
      <c r="B151" t="s">
        <v>472</v>
      </c>
      <c r="C151" t="s">
        <v>473</v>
      </c>
      <c r="D151" s="1">
        <v>18658.323653698</v>
      </c>
      <c r="E151">
        <v>626874317496</v>
      </c>
      <c r="F151">
        <v>33597569.059841901</v>
      </c>
      <c r="G151">
        <v>33597569.043648399</v>
      </c>
      <c r="H151" s="1">
        <v>21600000</v>
      </c>
    </row>
    <row r="152" spans="1:8" x14ac:dyDescent="0.3">
      <c r="A152">
        <v>749</v>
      </c>
      <c r="B152" t="s">
        <v>461</v>
      </c>
      <c r="C152" t="s">
        <v>462</v>
      </c>
      <c r="D152" s="1">
        <v>18713.912356018998</v>
      </c>
      <c r="E152">
        <v>1188295059080</v>
      </c>
      <c r="F152">
        <v>63497949.358398303</v>
      </c>
      <c r="G152">
        <v>63497949.670199499</v>
      </c>
      <c r="H152" s="1">
        <v>33600000</v>
      </c>
    </row>
    <row r="153" spans="1:8" x14ac:dyDescent="0.3">
      <c r="A153">
        <v>131</v>
      </c>
      <c r="B153" t="s">
        <v>162</v>
      </c>
      <c r="C153" t="s">
        <v>163</v>
      </c>
      <c r="D153" s="1">
        <v>19763.403504371599</v>
      </c>
      <c r="E153">
        <v>503369963040</v>
      </c>
      <c r="F153">
        <v>25469801.440255702</v>
      </c>
      <c r="G153">
        <v>25469801.322009899</v>
      </c>
      <c r="H153" s="1">
        <v>16800000</v>
      </c>
    </row>
    <row r="154" spans="1:8" x14ac:dyDescent="0.3">
      <c r="A154">
        <v>352</v>
      </c>
      <c r="B154" t="s">
        <v>286</v>
      </c>
      <c r="C154" t="s">
        <v>287</v>
      </c>
      <c r="D154" s="1">
        <v>19923.727165937398</v>
      </c>
      <c r="E154">
        <v>438285250644</v>
      </c>
      <c r="F154">
        <v>21998155.6158485</v>
      </c>
      <c r="G154">
        <v>21998155.700097501</v>
      </c>
      <c r="H154" s="1">
        <v>15600000</v>
      </c>
    </row>
    <row r="155" spans="1:8" x14ac:dyDescent="0.3">
      <c r="A155">
        <v>941</v>
      </c>
      <c r="B155" t="s">
        <v>543</v>
      </c>
      <c r="C155" t="s">
        <v>544</v>
      </c>
      <c r="D155" s="1">
        <v>19934.286400556601</v>
      </c>
      <c r="E155">
        <v>826606926384</v>
      </c>
      <c r="F155">
        <v>41466592.270938799</v>
      </c>
      <c r="G155">
        <v>41466592.051662698</v>
      </c>
      <c r="H155" s="1">
        <v>32400000</v>
      </c>
    </row>
    <row r="156" spans="1:8" x14ac:dyDescent="0.3">
      <c r="A156">
        <v>932</v>
      </c>
      <c r="B156" t="s">
        <v>541</v>
      </c>
      <c r="C156" t="s">
        <v>542</v>
      </c>
      <c r="D156" s="1">
        <v>19939.716223239899</v>
      </c>
      <c r="E156">
        <v>600870026540.5</v>
      </c>
      <c r="F156">
        <v>30134331.893860199</v>
      </c>
      <c r="G156">
        <v>30134331.767042901</v>
      </c>
      <c r="H156" s="1">
        <v>17544000</v>
      </c>
    </row>
    <row r="157" spans="1:8" x14ac:dyDescent="0.3">
      <c r="A157">
        <v>474</v>
      </c>
      <c r="B157" t="s">
        <v>342</v>
      </c>
      <c r="C157" t="s">
        <v>343</v>
      </c>
      <c r="D157" s="1">
        <v>20794.9532961845</v>
      </c>
      <c r="E157">
        <v>808479684788</v>
      </c>
      <c r="F157">
        <v>38878648.741006799</v>
      </c>
      <c r="G157">
        <v>38878648.8613277</v>
      </c>
      <c r="H157" s="1">
        <v>21600000</v>
      </c>
    </row>
    <row r="158" spans="1:8" x14ac:dyDescent="0.3">
      <c r="A158">
        <v>479</v>
      </c>
      <c r="B158" t="s">
        <v>352</v>
      </c>
      <c r="C158" t="s">
        <v>353</v>
      </c>
      <c r="D158" s="1">
        <v>21337.707854747801</v>
      </c>
      <c r="E158">
        <v>735421421766.25</v>
      </c>
      <c r="F158">
        <v>34465811.734441496</v>
      </c>
      <c r="G158">
        <v>34465811.788236499</v>
      </c>
      <c r="H158" s="1">
        <v>19200000</v>
      </c>
    </row>
    <row r="159" spans="1:8" x14ac:dyDescent="0.3">
      <c r="A159">
        <v>454</v>
      </c>
      <c r="B159" t="s">
        <v>320</v>
      </c>
      <c r="C159" t="s">
        <v>321</v>
      </c>
      <c r="D159" s="1">
        <v>22446.341612577398</v>
      </c>
      <c r="E159">
        <v>495263491494</v>
      </c>
      <c r="F159">
        <v>22064330.1274755</v>
      </c>
      <c r="G159">
        <v>22064330.134328999</v>
      </c>
      <c r="H159" s="1">
        <v>16356000</v>
      </c>
    </row>
    <row r="160" spans="1:8" x14ac:dyDescent="0.3">
      <c r="A160">
        <v>107</v>
      </c>
      <c r="B160" t="s">
        <v>154</v>
      </c>
      <c r="C160" t="s">
        <v>155</v>
      </c>
      <c r="D160" s="1">
        <v>24158.539755821199</v>
      </c>
      <c r="E160">
        <v>675959614768</v>
      </c>
      <c r="F160">
        <v>27980152.012504</v>
      </c>
      <c r="G160">
        <v>27980152.070260301</v>
      </c>
      <c r="H160" s="1">
        <v>16800000</v>
      </c>
    </row>
    <row r="161" spans="1:8" x14ac:dyDescent="0.3">
      <c r="A161">
        <v>931</v>
      </c>
      <c r="B161" t="s">
        <v>539</v>
      </c>
      <c r="C161" t="s">
        <v>540</v>
      </c>
      <c r="D161" s="1">
        <v>25150.518025398302</v>
      </c>
      <c r="E161">
        <v>838660335172</v>
      </c>
      <c r="F161">
        <v>33345648.559806202</v>
      </c>
      <c r="G161">
        <v>33345648.426817801</v>
      </c>
      <c r="H161" s="1">
        <v>19200000</v>
      </c>
    </row>
    <row r="162" spans="1:8" x14ac:dyDescent="0.3">
      <c r="A162">
        <v>511</v>
      </c>
      <c r="B162" t="s">
        <v>364</v>
      </c>
      <c r="C162" t="s">
        <v>365</v>
      </c>
      <c r="D162" s="1">
        <v>25154.579281210899</v>
      </c>
      <c r="E162">
        <v>1572014273778</v>
      </c>
      <c r="F162">
        <v>62494158.864831798</v>
      </c>
      <c r="G162">
        <v>62494158.6644243</v>
      </c>
      <c r="H162" s="1">
        <v>33600000</v>
      </c>
    </row>
    <row r="163" spans="1:8" x14ac:dyDescent="0.3">
      <c r="A163">
        <v>701</v>
      </c>
      <c r="B163" t="s">
        <v>441</v>
      </c>
      <c r="C163" t="s">
        <v>442</v>
      </c>
      <c r="D163" s="1">
        <v>25422.7579739094</v>
      </c>
      <c r="E163">
        <v>1009743916046</v>
      </c>
      <c r="F163">
        <v>39718110.7211999</v>
      </c>
      <c r="G163">
        <v>39718110.629264601</v>
      </c>
      <c r="H163" s="1">
        <v>24000000</v>
      </c>
    </row>
    <row r="164" spans="1:8" x14ac:dyDescent="0.3">
      <c r="A164">
        <v>692</v>
      </c>
      <c r="B164" t="s">
        <v>439</v>
      </c>
      <c r="C164" t="s">
        <v>440</v>
      </c>
      <c r="D164" s="1">
        <v>25659.9438557625</v>
      </c>
      <c r="E164">
        <v>1085989900775</v>
      </c>
      <c r="F164">
        <v>42322380.239001103</v>
      </c>
      <c r="G164">
        <v>42322380.369863302</v>
      </c>
      <c r="H164" s="1">
        <v>31200000</v>
      </c>
    </row>
    <row r="165" spans="1:8" x14ac:dyDescent="0.3">
      <c r="A165">
        <v>152</v>
      </c>
      <c r="B165" t="s">
        <v>174</v>
      </c>
      <c r="C165" t="s">
        <v>175</v>
      </c>
      <c r="D165" s="1">
        <v>26896.103616714499</v>
      </c>
      <c r="E165">
        <v>468790538400</v>
      </c>
      <c r="F165">
        <v>17429682.1978583</v>
      </c>
      <c r="G165">
        <v>17429682.1940629</v>
      </c>
      <c r="H165" s="1">
        <v>15600000</v>
      </c>
    </row>
    <row r="166" spans="1:8" x14ac:dyDescent="0.3">
      <c r="A166">
        <v>259</v>
      </c>
      <c r="B166" t="s">
        <v>218</v>
      </c>
      <c r="C166" t="s">
        <v>219</v>
      </c>
      <c r="D166" s="1">
        <v>27237.255691528298</v>
      </c>
      <c r="E166">
        <v>780561955939</v>
      </c>
      <c r="F166">
        <v>28657878.1937191</v>
      </c>
      <c r="G166">
        <v>28657878.328889601</v>
      </c>
      <c r="H166" s="1">
        <v>17544000</v>
      </c>
    </row>
    <row r="167" spans="1:8" x14ac:dyDescent="0.3">
      <c r="A167">
        <v>829</v>
      </c>
      <c r="B167" t="s">
        <v>498</v>
      </c>
      <c r="C167" t="s">
        <v>499</v>
      </c>
      <c r="D167" s="1">
        <v>27366.9849882126</v>
      </c>
      <c r="E167">
        <v>826252400583</v>
      </c>
      <c r="F167">
        <v>30191575.759583302</v>
      </c>
      <c r="G167">
        <v>30191575.563441701</v>
      </c>
      <c r="H167" s="1">
        <v>18000000</v>
      </c>
    </row>
    <row r="168" spans="1:8" x14ac:dyDescent="0.3">
      <c r="A168">
        <v>451</v>
      </c>
      <c r="B168" t="s">
        <v>314</v>
      </c>
      <c r="C168" t="s">
        <v>315</v>
      </c>
      <c r="D168" s="1">
        <v>27440.4162373543</v>
      </c>
      <c r="E168">
        <v>942720842116</v>
      </c>
      <c r="F168">
        <v>34355194.686612897</v>
      </c>
      <c r="G168">
        <v>34355194.694354303</v>
      </c>
      <c r="H168" s="1">
        <v>21120000</v>
      </c>
    </row>
    <row r="169" spans="1:8" x14ac:dyDescent="0.3">
      <c r="A169">
        <v>61</v>
      </c>
      <c r="B169" t="s">
        <v>124</v>
      </c>
      <c r="C169" t="s">
        <v>125</v>
      </c>
      <c r="D169" s="1">
        <v>28593.652454376199</v>
      </c>
      <c r="E169">
        <v>2404490907752</v>
      </c>
      <c r="F169">
        <v>84091772.171763793</v>
      </c>
      <c r="G169">
        <v>84091771.934886098</v>
      </c>
      <c r="H169" s="1">
        <v>50400000</v>
      </c>
    </row>
    <row r="170" spans="1:8" x14ac:dyDescent="0.3">
      <c r="A170">
        <v>453</v>
      </c>
      <c r="B170" t="s">
        <v>318</v>
      </c>
      <c r="C170" t="s">
        <v>319</v>
      </c>
      <c r="D170" s="1">
        <v>30191.149224638899</v>
      </c>
      <c r="E170">
        <v>847154947538</v>
      </c>
      <c r="F170">
        <v>28059711.845835902</v>
      </c>
      <c r="G170">
        <v>28059711.828804601</v>
      </c>
      <c r="H170" s="1">
        <v>19200000</v>
      </c>
    </row>
    <row r="171" spans="1:8" x14ac:dyDescent="0.3">
      <c r="A171">
        <v>702</v>
      </c>
      <c r="B171" t="s">
        <v>443</v>
      </c>
      <c r="C171" t="s">
        <v>444</v>
      </c>
      <c r="D171" s="1">
        <v>30347.191609859499</v>
      </c>
      <c r="E171">
        <v>1459123669508</v>
      </c>
      <c r="F171">
        <v>48081011.523779601</v>
      </c>
      <c r="G171">
        <v>48081011.680769503</v>
      </c>
      <c r="H171" s="1">
        <v>30000000</v>
      </c>
    </row>
    <row r="172" spans="1:8" x14ac:dyDescent="0.3">
      <c r="A172">
        <v>11</v>
      </c>
      <c r="B172" t="s">
        <v>98</v>
      </c>
      <c r="C172" t="s">
        <v>99</v>
      </c>
      <c r="D172" s="1">
        <v>30591.091905355399</v>
      </c>
      <c r="E172">
        <v>533666026362</v>
      </c>
      <c r="F172">
        <v>17445144.750409301</v>
      </c>
      <c r="G172">
        <v>17445144.804907899</v>
      </c>
      <c r="H172" s="1">
        <v>12000000</v>
      </c>
    </row>
    <row r="173" spans="1:8" x14ac:dyDescent="0.3">
      <c r="A173">
        <v>851</v>
      </c>
      <c r="B173" t="s">
        <v>506</v>
      </c>
      <c r="C173" t="s">
        <v>507</v>
      </c>
      <c r="D173" s="1">
        <v>32460.425361752499</v>
      </c>
      <c r="E173">
        <v>692428693595.5</v>
      </c>
      <c r="F173">
        <v>21331473.197864302</v>
      </c>
      <c r="G173">
        <v>21331473.156533301</v>
      </c>
      <c r="H173" s="1">
        <v>17544000</v>
      </c>
    </row>
    <row r="174" spans="1:8" x14ac:dyDescent="0.3">
      <c r="A174">
        <v>642</v>
      </c>
      <c r="B174" t="s">
        <v>415</v>
      </c>
      <c r="C174" t="s">
        <v>416</v>
      </c>
      <c r="D174" s="1">
        <v>32512.035177350001</v>
      </c>
      <c r="E174">
        <v>1365996456134</v>
      </c>
      <c r="F174">
        <v>42015101.4442074</v>
      </c>
      <c r="G174">
        <v>42015101.597315997</v>
      </c>
      <c r="H174" s="1">
        <v>24600000</v>
      </c>
    </row>
    <row r="175" spans="1:8" x14ac:dyDescent="0.3">
      <c r="A175">
        <v>311</v>
      </c>
      <c r="B175" t="s">
        <v>264</v>
      </c>
      <c r="C175" t="s">
        <v>265</v>
      </c>
      <c r="D175" s="1">
        <v>33010.831926822699</v>
      </c>
      <c r="E175">
        <v>793653123318</v>
      </c>
      <c r="F175">
        <v>24042203.0283073</v>
      </c>
      <c r="G175">
        <v>24042202.987728398</v>
      </c>
      <c r="H175" s="1">
        <v>15600000</v>
      </c>
    </row>
    <row r="176" spans="1:8" x14ac:dyDescent="0.3">
      <c r="A176">
        <v>473</v>
      </c>
      <c r="B176" t="s">
        <v>340</v>
      </c>
      <c r="C176" t="s">
        <v>341</v>
      </c>
      <c r="D176" s="1">
        <v>34834.069951295904</v>
      </c>
      <c r="E176">
        <v>803093292260</v>
      </c>
      <c r="F176">
        <v>23054822.286998499</v>
      </c>
      <c r="G176">
        <v>23054822.3156914</v>
      </c>
      <c r="H176" s="1">
        <v>15600000</v>
      </c>
    </row>
    <row r="177" spans="1:8" x14ac:dyDescent="0.3">
      <c r="A177">
        <v>612</v>
      </c>
      <c r="B177" t="s">
        <v>402</v>
      </c>
      <c r="C177" t="s">
        <v>403</v>
      </c>
      <c r="D177" s="1">
        <v>35746.4306739569</v>
      </c>
      <c r="E177">
        <v>1196723763668</v>
      </c>
      <c r="F177">
        <v>33478133.092036899</v>
      </c>
      <c r="G177">
        <v>33478132.902052201</v>
      </c>
      <c r="H177" s="1">
        <v>18000000</v>
      </c>
    </row>
    <row r="178" spans="1:8" x14ac:dyDescent="0.3">
      <c r="A178">
        <v>331</v>
      </c>
      <c r="B178" t="s">
        <v>280</v>
      </c>
      <c r="C178" t="s">
        <v>281</v>
      </c>
      <c r="D178" s="1">
        <v>35851.769630909002</v>
      </c>
      <c r="E178">
        <v>905623913608</v>
      </c>
      <c r="F178">
        <v>25260229.074640501</v>
      </c>
      <c r="G178">
        <v>25260229.132344101</v>
      </c>
      <c r="H178" s="1">
        <v>19200000</v>
      </c>
    </row>
    <row r="179" spans="1:8" x14ac:dyDescent="0.3">
      <c r="A179">
        <v>170</v>
      </c>
      <c r="B179" t="s">
        <v>186</v>
      </c>
      <c r="C179" t="s">
        <v>22</v>
      </c>
      <c r="D179" s="1">
        <v>36072.0728883743</v>
      </c>
      <c r="E179">
        <v>1498787840784</v>
      </c>
      <c r="F179">
        <v>41549811.828724802</v>
      </c>
      <c r="G179">
        <v>41549812.020648502</v>
      </c>
      <c r="H179" s="1">
        <v>18000000</v>
      </c>
    </row>
    <row r="180" spans="1:8" x14ac:dyDescent="0.3">
      <c r="A180">
        <v>452</v>
      </c>
      <c r="B180" t="s">
        <v>316</v>
      </c>
      <c r="C180" t="s">
        <v>317</v>
      </c>
      <c r="D180" s="1">
        <v>36678.786678314202</v>
      </c>
      <c r="E180">
        <v>781317032798</v>
      </c>
      <c r="F180">
        <v>21301605.1934985</v>
      </c>
      <c r="G180">
        <v>21301605.1718463</v>
      </c>
      <c r="H180" s="1">
        <v>16800000</v>
      </c>
    </row>
    <row r="181" spans="1:8" x14ac:dyDescent="0.3">
      <c r="A181">
        <v>691</v>
      </c>
      <c r="B181" t="s">
        <v>437</v>
      </c>
      <c r="C181" t="s">
        <v>438</v>
      </c>
      <c r="D181" s="1">
        <v>37207.125166892998</v>
      </c>
      <c r="E181">
        <v>1511822968470</v>
      </c>
      <c r="F181">
        <v>40632619.7385232</v>
      </c>
      <c r="G181">
        <v>40632619.6253995</v>
      </c>
      <c r="H181" s="1">
        <v>30000000</v>
      </c>
    </row>
    <row r="182" spans="1:8" x14ac:dyDescent="0.3">
      <c r="A182">
        <v>381</v>
      </c>
      <c r="B182" t="s">
        <v>292</v>
      </c>
      <c r="C182" t="s">
        <v>293</v>
      </c>
      <c r="D182" s="1">
        <v>37614.256115436503</v>
      </c>
      <c r="E182">
        <v>827241780704</v>
      </c>
      <c r="F182">
        <v>21992772.585086599</v>
      </c>
      <c r="G182">
        <v>21992772.608980399</v>
      </c>
      <c r="H182" s="1">
        <v>15600000</v>
      </c>
    </row>
    <row r="183" spans="1:8" x14ac:dyDescent="0.3">
      <c r="A183">
        <v>465</v>
      </c>
      <c r="B183" t="s">
        <v>330</v>
      </c>
      <c r="C183" t="s">
        <v>331</v>
      </c>
      <c r="D183" s="1">
        <v>38092.266073703802</v>
      </c>
      <c r="E183">
        <v>1451568542348</v>
      </c>
      <c r="F183">
        <v>38106647.148253098</v>
      </c>
      <c r="G183">
        <v>38106647.087769598</v>
      </c>
      <c r="H183" s="1">
        <v>24000000</v>
      </c>
    </row>
    <row r="184" spans="1:8" x14ac:dyDescent="0.3">
      <c r="A184">
        <v>101</v>
      </c>
      <c r="B184" t="s">
        <v>142</v>
      </c>
      <c r="C184" t="s">
        <v>143</v>
      </c>
      <c r="D184" s="1">
        <v>38607.153033256502</v>
      </c>
      <c r="E184">
        <v>881502175872</v>
      </c>
      <c r="F184">
        <v>22832612.783249401</v>
      </c>
      <c r="G184">
        <v>22832612.8299146</v>
      </c>
      <c r="H184" s="1">
        <v>17040000</v>
      </c>
    </row>
    <row r="185" spans="1:8" x14ac:dyDescent="0.3">
      <c r="A185">
        <v>812</v>
      </c>
      <c r="B185" t="s">
        <v>488</v>
      </c>
      <c r="C185" t="s">
        <v>489</v>
      </c>
      <c r="D185" s="1">
        <v>38650.656073808699</v>
      </c>
      <c r="E185">
        <v>757765058558</v>
      </c>
      <c r="F185">
        <v>19605490.1917045</v>
      </c>
      <c r="G185">
        <v>19605490.186347399</v>
      </c>
      <c r="H185" s="1">
        <v>15600000</v>
      </c>
    </row>
    <row r="186" spans="1:8" x14ac:dyDescent="0.3">
      <c r="A186">
        <v>652</v>
      </c>
      <c r="B186" t="s">
        <v>423</v>
      </c>
      <c r="C186" t="s">
        <v>424</v>
      </c>
      <c r="D186" s="1">
        <v>38685.501507282301</v>
      </c>
      <c r="E186">
        <v>1344102545892</v>
      </c>
      <c r="F186">
        <v>34744348.490324803</v>
      </c>
      <c r="G186">
        <v>34744348.328370698</v>
      </c>
      <c r="H186" s="1">
        <v>24960000</v>
      </c>
    </row>
    <row r="187" spans="1:8" x14ac:dyDescent="0.3">
      <c r="A187">
        <v>72</v>
      </c>
      <c r="B187" t="s">
        <v>130</v>
      </c>
      <c r="C187" t="s">
        <v>131</v>
      </c>
      <c r="D187" s="1">
        <v>39112.850128412203</v>
      </c>
      <c r="E187">
        <v>830788329163.5</v>
      </c>
      <c r="F187">
        <v>21240802.611825</v>
      </c>
      <c r="G187">
        <v>21240802.670107201</v>
      </c>
      <c r="H187" s="1">
        <v>15600000</v>
      </c>
    </row>
    <row r="188" spans="1:8" x14ac:dyDescent="0.3">
      <c r="A188">
        <v>731</v>
      </c>
      <c r="B188" t="s">
        <v>453</v>
      </c>
      <c r="C188" t="s">
        <v>454</v>
      </c>
      <c r="D188" s="1">
        <v>43436.105391979203</v>
      </c>
      <c r="E188">
        <v>1912585465748</v>
      </c>
      <c r="F188">
        <v>44032158.235373802</v>
      </c>
      <c r="G188">
        <v>44032158.242495</v>
      </c>
      <c r="H188" s="1">
        <v>31200000</v>
      </c>
    </row>
    <row r="189" spans="1:8" x14ac:dyDescent="0.3">
      <c r="A189">
        <v>104</v>
      </c>
      <c r="B189" t="s">
        <v>148</v>
      </c>
      <c r="C189" t="s">
        <v>149</v>
      </c>
      <c r="D189" s="1">
        <v>44291.659862518303</v>
      </c>
      <c r="E189">
        <v>1033862619988</v>
      </c>
      <c r="F189">
        <v>23342151.1678975</v>
      </c>
      <c r="G189">
        <v>23342151.089571498</v>
      </c>
      <c r="H189" s="1">
        <v>17520000</v>
      </c>
    </row>
    <row r="190" spans="1:8" x14ac:dyDescent="0.3">
      <c r="A190">
        <v>920</v>
      </c>
      <c r="B190" t="s">
        <v>538</v>
      </c>
      <c r="C190" t="s">
        <v>87</v>
      </c>
      <c r="D190" s="1">
        <v>45142.1980962753</v>
      </c>
      <c r="E190">
        <v>781546482686.375</v>
      </c>
      <c r="F190">
        <v>17312991.295186002</v>
      </c>
      <c r="G190">
        <v>17312991.287722599</v>
      </c>
      <c r="H190" s="1">
        <v>15600000</v>
      </c>
    </row>
    <row r="191" spans="1:8" x14ac:dyDescent="0.3">
      <c r="A191">
        <v>472</v>
      </c>
      <c r="B191" t="s">
        <v>338</v>
      </c>
      <c r="C191" t="s">
        <v>339</v>
      </c>
      <c r="D191" s="1">
        <v>46732.915696978598</v>
      </c>
      <c r="E191">
        <v>956153288934</v>
      </c>
      <c r="F191">
        <v>20459953.646671701</v>
      </c>
      <c r="G191">
        <v>20459953.648306899</v>
      </c>
      <c r="H191" s="1">
        <v>15600000</v>
      </c>
    </row>
    <row r="192" spans="1:8" x14ac:dyDescent="0.3">
      <c r="A192">
        <v>960</v>
      </c>
      <c r="B192" t="s">
        <v>553</v>
      </c>
      <c r="C192" t="s">
        <v>91</v>
      </c>
      <c r="D192" s="1">
        <v>47461.920127868703</v>
      </c>
      <c r="E192">
        <v>1104664884075</v>
      </c>
      <c r="F192">
        <v>23274761.768990502</v>
      </c>
      <c r="G192">
        <v>23274761.8616913</v>
      </c>
      <c r="H192" s="1">
        <v>17400000</v>
      </c>
    </row>
    <row r="193" spans="1:8" x14ac:dyDescent="0.3">
      <c r="A193">
        <v>251</v>
      </c>
      <c r="B193" t="s">
        <v>214</v>
      </c>
      <c r="C193" t="s">
        <v>215</v>
      </c>
      <c r="D193" s="1">
        <v>47761.829756975203</v>
      </c>
      <c r="E193">
        <v>1119926453388</v>
      </c>
      <c r="F193">
        <v>23448148.0103774</v>
      </c>
      <c r="G193">
        <v>23448148.039084699</v>
      </c>
      <c r="H193" s="1">
        <v>17400000</v>
      </c>
    </row>
    <row r="194" spans="1:8" x14ac:dyDescent="0.3">
      <c r="A194">
        <v>360</v>
      </c>
      <c r="B194" t="s">
        <v>290</v>
      </c>
      <c r="C194" t="s">
        <v>40</v>
      </c>
      <c r="D194" s="1">
        <v>50018.072564244299</v>
      </c>
      <c r="E194">
        <v>1413617145010</v>
      </c>
      <c r="F194">
        <v>28262127.517895099</v>
      </c>
      <c r="G194">
        <v>28262127.442408402</v>
      </c>
      <c r="H194" s="1">
        <v>19200000</v>
      </c>
    </row>
    <row r="195" spans="1:8" x14ac:dyDescent="0.3">
      <c r="A195">
        <v>210</v>
      </c>
      <c r="B195" t="s">
        <v>199</v>
      </c>
      <c r="C195" t="s">
        <v>26</v>
      </c>
      <c r="D195" s="1">
        <v>50389.893980741501</v>
      </c>
      <c r="E195">
        <v>2090827323756</v>
      </c>
      <c r="F195">
        <v>41492989.140939496</v>
      </c>
      <c r="G195">
        <v>41492989.061848603</v>
      </c>
      <c r="H195" s="1">
        <v>22584000</v>
      </c>
    </row>
    <row r="196" spans="1:8" x14ac:dyDescent="0.3">
      <c r="A196">
        <v>239</v>
      </c>
      <c r="B196" t="s">
        <v>206</v>
      </c>
      <c r="C196" t="s">
        <v>207</v>
      </c>
      <c r="D196" s="1">
        <v>50547.0295138359</v>
      </c>
      <c r="E196">
        <v>1738252333892</v>
      </c>
      <c r="F196">
        <v>34388812.767250702</v>
      </c>
      <c r="G196">
        <v>34388812.535886198</v>
      </c>
      <c r="H196" s="1">
        <v>18960000</v>
      </c>
    </row>
    <row r="197" spans="1:8" x14ac:dyDescent="0.3">
      <c r="A197">
        <v>649</v>
      </c>
      <c r="B197" t="s">
        <v>419</v>
      </c>
      <c r="C197" t="s">
        <v>420</v>
      </c>
      <c r="D197" s="1">
        <v>51692.306839704499</v>
      </c>
      <c r="E197">
        <v>1717443970196</v>
      </c>
      <c r="F197">
        <v>33224363.066668998</v>
      </c>
      <c r="G197">
        <v>33224363.040831201</v>
      </c>
      <c r="H197" s="1">
        <v>19200000</v>
      </c>
    </row>
    <row r="198" spans="1:8" x14ac:dyDescent="0.3">
      <c r="A198">
        <v>110</v>
      </c>
      <c r="B198" t="s">
        <v>160</v>
      </c>
      <c r="C198" t="s">
        <v>16</v>
      </c>
      <c r="D198" s="1">
        <v>53982.389692664103</v>
      </c>
      <c r="E198">
        <v>1589056869006</v>
      </c>
      <c r="F198">
        <v>29436578.818627998</v>
      </c>
      <c r="G198">
        <v>29436578.7775908</v>
      </c>
      <c r="H198" s="1">
        <v>18000000</v>
      </c>
    </row>
    <row r="199" spans="1:8" x14ac:dyDescent="0.3">
      <c r="A199">
        <v>51</v>
      </c>
      <c r="B199" t="s">
        <v>120</v>
      </c>
      <c r="C199" t="s">
        <v>121</v>
      </c>
      <c r="D199" s="1">
        <v>54176.657910346999</v>
      </c>
      <c r="E199">
        <v>1682616509980</v>
      </c>
      <c r="F199">
        <v>31057960.658341799</v>
      </c>
      <c r="G199">
        <v>31057960.655079201</v>
      </c>
      <c r="H199" s="1">
        <v>18000000</v>
      </c>
    </row>
    <row r="200" spans="1:8" x14ac:dyDescent="0.3">
      <c r="A200">
        <v>651</v>
      </c>
      <c r="B200" t="s">
        <v>421</v>
      </c>
      <c r="C200" t="s">
        <v>422</v>
      </c>
      <c r="D200" s="1">
        <v>55700.450680494301</v>
      </c>
      <c r="E200">
        <v>2513392883660</v>
      </c>
      <c r="F200">
        <v>45123385.052612603</v>
      </c>
      <c r="G200">
        <v>45123385.324689202</v>
      </c>
      <c r="H200" s="1">
        <v>30000000</v>
      </c>
    </row>
    <row r="201" spans="1:8" x14ac:dyDescent="0.3">
      <c r="A201">
        <v>611</v>
      </c>
      <c r="B201" t="s">
        <v>400</v>
      </c>
      <c r="C201" t="s">
        <v>401</v>
      </c>
      <c r="D201" s="1">
        <v>57476.056112051003</v>
      </c>
      <c r="E201">
        <v>1778813937116</v>
      </c>
      <c r="F201">
        <v>30948782.109338801</v>
      </c>
      <c r="G201">
        <v>30948782.1494122</v>
      </c>
      <c r="H201" s="1">
        <v>18000000</v>
      </c>
    </row>
    <row r="202" spans="1:8" x14ac:dyDescent="0.3">
      <c r="A202">
        <v>532</v>
      </c>
      <c r="B202" t="s">
        <v>374</v>
      </c>
      <c r="C202" t="s">
        <v>375</v>
      </c>
      <c r="D202" s="1">
        <v>58002.943281054497</v>
      </c>
      <c r="E202">
        <v>1236773080818</v>
      </c>
      <c r="F202">
        <v>21322591.766165901</v>
      </c>
      <c r="G202">
        <v>21322591.7299232</v>
      </c>
      <c r="H202" s="1">
        <v>15600000</v>
      </c>
    </row>
    <row r="203" spans="1:8" x14ac:dyDescent="0.3">
      <c r="A203">
        <v>432</v>
      </c>
      <c r="B203" t="s">
        <v>308</v>
      </c>
      <c r="C203" t="s">
        <v>309</v>
      </c>
      <c r="D203" s="1">
        <v>60219.837668180502</v>
      </c>
      <c r="E203">
        <v>1609133037064</v>
      </c>
      <c r="F203">
        <v>26720979.3213084</v>
      </c>
      <c r="G203">
        <v>26720979.324872699</v>
      </c>
      <c r="H203" s="1">
        <v>18600000</v>
      </c>
    </row>
    <row r="204" spans="1:8" x14ac:dyDescent="0.3">
      <c r="A204">
        <v>869</v>
      </c>
      <c r="B204" t="s">
        <v>522</v>
      </c>
      <c r="C204" t="s">
        <v>523</v>
      </c>
      <c r="D204" s="1">
        <v>63279.344419598601</v>
      </c>
      <c r="E204">
        <v>1992456797176</v>
      </c>
      <c r="F204">
        <v>31486685.196424101</v>
      </c>
      <c r="G204">
        <v>31486685.1438905</v>
      </c>
      <c r="H204" s="1">
        <v>19200000</v>
      </c>
    </row>
    <row r="205" spans="1:8" x14ac:dyDescent="0.3">
      <c r="A205">
        <v>464</v>
      </c>
      <c r="B205" t="s">
        <v>328</v>
      </c>
      <c r="C205" t="s">
        <v>329</v>
      </c>
      <c r="D205" s="1">
        <v>64375.2154121399</v>
      </c>
      <c r="E205">
        <v>2510120441116</v>
      </c>
      <c r="F205">
        <v>38992031.716644801</v>
      </c>
      <c r="G205">
        <v>38992031.870656997</v>
      </c>
      <c r="H205" s="1">
        <v>19200000</v>
      </c>
    </row>
    <row r="206" spans="1:8" x14ac:dyDescent="0.3">
      <c r="A206">
        <v>351</v>
      </c>
      <c r="B206" t="s">
        <v>284</v>
      </c>
      <c r="C206" t="s">
        <v>285</v>
      </c>
      <c r="D206" s="1">
        <v>65577.2585296631</v>
      </c>
      <c r="E206">
        <v>2863596857764</v>
      </c>
      <c r="F206">
        <v>43667529.292470902</v>
      </c>
      <c r="G206">
        <v>43667529.150396898</v>
      </c>
      <c r="H206" s="1">
        <v>24000000</v>
      </c>
    </row>
    <row r="207" spans="1:8" x14ac:dyDescent="0.3">
      <c r="A207">
        <v>551</v>
      </c>
      <c r="B207" t="s">
        <v>376</v>
      </c>
      <c r="C207" t="s">
        <v>377</v>
      </c>
      <c r="D207" s="1">
        <v>66500.464641451807</v>
      </c>
      <c r="E207">
        <v>1505191547256.5</v>
      </c>
      <c r="F207">
        <v>22634301.2093523</v>
      </c>
      <c r="G207">
        <v>22634301.221854199</v>
      </c>
      <c r="H207" s="1">
        <v>16800000</v>
      </c>
    </row>
    <row r="208" spans="1:8" x14ac:dyDescent="0.3">
      <c r="A208">
        <v>202</v>
      </c>
      <c r="B208" t="s">
        <v>195</v>
      </c>
      <c r="C208" t="s">
        <v>196</v>
      </c>
      <c r="D208" s="1">
        <v>67518.216467857404</v>
      </c>
      <c r="E208">
        <v>1869677124811</v>
      </c>
      <c r="F208">
        <v>27691447.17709</v>
      </c>
      <c r="G208">
        <v>27691447.192829099</v>
      </c>
      <c r="H208" s="1">
        <v>18000000</v>
      </c>
    </row>
    <row r="209" spans="1:8" x14ac:dyDescent="0.3">
      <c r="A209">
        <v>429</v>
      </c>
      <c r="B209" t="s">
        <v>304</v>
      </c>
      <c r="C209" t="s">
        <v>305</v>
      </c>
      <c r="D209" s="1">
        <v>72392.513475179701</v>
      </c>
      <c r="E209">
        <v>2150137783688</v>
      </c>
      <c r="F209">
        <v>29701106.9304175</v>
      </c>
      <c r="G209">
        <v>29701106.954532001</v>
      </c>
      <c r="H209" s="1">
        <v>20400000</v>
      </c>
    </row>
    <row r="210" spans="1:8" x14ac:dyDescent="0.3">
      <c r="A210">
        <v>466</v>
      </c>
      <c r="B210" t="s">
        <v>332</v>
      </c>
      <c r="C210" t="s">
        <v>333</v>
      </c>
      <c r="D210" s="1">
        <v>73039.923105239897</v>
      </c>
      <c r="E210">
        <v>2192924836592</v>
      </c>
      <c r="F210">
        <v>30023646.5669921</v>
      </c>
      <c r="G210">
        <v>30023646.573302701</v>
      </c>
      <c r="H210" s="1">
        <v>18000000</v>
      </c>
    </row>
    <row r="211" spans="1:8" x14ac:dyDescent="0.3">
      <c r="A211">
        <v>711</v>
      </c>
      <c r="B211" t="s">
        <v>445</v>
      </c>
      <c r="C211" t="s">
        <v>446</v>
      </c>
      <c r="D211" s="1">
        <v>73517.029456734701</v>
      </c>
      <c r="E211">
        <v>3301137213859.1802</v>
      </c>
      <c r="F211">
        <v>44903027.750895798</v>
      </c>
      <c r="G211">
        <v>44903027.773640104</v>
      </c>
      <c r="H211" s="1">
        <v>30000000</v>
      </c>
    </row>
    <row r="212" spans="1:8" x14ac:dyDescent="0.3">
      <c r="A212">
        <v>889</v>
      </c>
      <c r="B212" t="s">
        <v>534</v>
      </c>
      <c r="C212" t="s">
        <v>535</v>
      </c>
      <c r="D212" s="1">
        <v>76745.037448763804</v>
      </c>
      <c r="E212">
        <v>1588800432103</v>
      </c>
      <c r="F212">
        <v>20702321.412817199</v>
      </c>
      <c r="G212">
        <v>20702321.397089999</v>
      </c>
      <c r="H212" s="1">
        <v>15600000</v>
      </c>
    </row>
    <row r="213" spans="1:8" x14ac:dyDescent="0.3">
      <c r="A213">
        <v>855</v>
      </c>
      <c r="B213" t="s">
        <v>514</v>
      </c>
      <c r="C213" t="s">
        <v>515</v>
      </c>
      <c r="D213" s="1">
        <v>79577.263979971394</v>
      </c>
      <c r="E213">
        <v>2905036865667</v>
      </c>
      <c r="F213">
        <v>36505865.122457102</v>
      </c>
      <c r="G213">
        <v>36505865.086379297</v>
      </c>
      <c r="H213" s="1">
        <v>30000000</v>
      </c>
    </row>
    <row r="214" spans="1:8" x14ac:dyDescent="0.3">
      <c r="A214">
        <v>14</v>
      </c>
      <c r="B214" t="s">
        <v>104</v>
      </c>
      <c r="C214" t="s">
        <v>105</v>
      </c>
      <c r="D214" s="1">
        <v>79577.265716791197</v>
      </c>
      <c r="E214">
        <v>1660378505872</v>
      </c>
      <c r="F214">
        <v>20864985.632720102</v>
      </c>
      <c r="G214">
        <v>20864985.6613882</v>
      </c>
      <c r="H214" s="1">
        <v>15600000</v>
      </c>
    </row>
    <row r="215" spans="1:8" x14ac:dyDescent="0.3">
      <c r="A215">
        <v>522</v>
      </c>
      <c r="B215" t="s">
        <v>370</v>
      </c>
      <c r="C215" t="s">
        <v>371</v>
      </c>
      <c r="D215" s="1">
        <v>79965.723034501105</v>
      </c>
      <c r="E215">
        <v>2271967137723.5</v>
      </c>
      <c r="F215">
        <v>28411762.584116999</v>
      </c>
      <c r="G215">
        <v>28411762.558178902</v>
      </c>
      <c r="H215" s="1">
        <v>18360000</v>
      </c>
    </row>
    <row r="216" spans="1:8" x14ac:dyDescent="0.3">
      <c r="A216">
        <v>463</v>
      </c>
      <c r="B216" t="s">
        <v>326</v>
      </c>
      <c r="C216" t="s">
        <v>327</v>
      </c>
      <c r="D216" s="1">
        <v>85702.709836959795</v>
      </c>
      <c r="E216">
        <v>1972878077893</v>
      </c>
      <c r="F216">
        <v>23020019.806213699</v>
      </c>
      <c r="G216">
        <v>23020019.791348401</v>
      </c>
      <c r="H216" s="1">
        <v>16800000</v>
      </c>
    </row>
    <row r="217" spans="1:8" x14ac:dyDescent="0.3">
      <c r="A217">
        <v>421</v>
      </c>
      <c r="B217" t="s">
        <v>300</v>
      </c>
      <c r="C217" t="s">
        <v>301</v>
      </c>
      <c r="D217" s="1">
        <v>88552.448141932502</v>
      </c>
      <c r="E217">
        <v>2438076583728</v>
      </c>
      <c r="F217">
        <v>27532571.203680702</v>
      </c>
      <c r="G217">
        <v>27532571.2570442</v>
      </c>
      <c r="H217" s="1">
        <v>18000000</v>
      </c>
    </row>
    <row r="218" spans="1:8" x14ac:dyDescent="0.3">
      <c r="A218">
        <v>801</v>
      </c>
      <c r="B218" t="s">
        <v>482</v>
      </c>
      <c r="C218" t="s">
        <v>483</v>
      </c>
      <c r="D218" s="1">
        <v>89698.4669396877</v>
      </c>
      <c r="E218">
        <v>2012645767272</v>
      </c>
      <c r="F218">
        <v>22437905.974750701</v>
      </c>
      <c r="G218">
        <v>22437905.983902398</v>
      </c>
      <c r="H218" s="1">
        <v>18000000</v>
      </c>
    </row>
    <row r="219" spans="1:8" x14ac:dyDescent="0.3">
      <c r="A219">
        <v>222</v>
      </c>
      <c r="B219" t="s">
        <v>202</v>
      </c>
      <c r="C219" t="s">
        <v>203</v>
      </c>
      <c r="D219" s="1">
        <v>89708.161481618896</v>
      </c>
      <c r="E219">
        <v>2320988782486</v>
      </c>
      <c r="F219">
        <v>25872660.236845501</v>
      </c>
      <c r="G219">
        <v>25872660.202230301</v>
      </c>
      <c r="H219" s="1">
        <v>17544000</v>
      </c>
    </row>
    <row r="220" spans="1:8" x14ac:dyDescent="0.3">
      <c r="A220">
        <v>949</v>
      </c>
      <c r="B220" t="s">
        <v>547</v>
      </c>
      <c r="C220" t="s">
        <v>548</v>
      </c>
      <c r="D220" s="1">
        <v>98692.333542168097</v>
      </c>
      <c r="E220">
        <v>3284381036685</v>
      </c>
      <c r="F220">
        <v>33278988.5374601</v>
      </c>
      <c r="G220">
        <v>33278988.5280299</v>
      </c>
      <c r="H220" s="1">
        <v>20400000</v>
      </c>
    </row>
    <row r="221" spans="1:8" x14ac:dyDescent="0.3">
      <c r="A221">
        <v>475</v>
      </c>
      <c r="B221" t="s">
        <v>344</v>
      </c>
      <c r="C221" t="s">
        <v>345</v>
      </c>
      <c r="D221" s="1">
        <v>117366.15508008</v>
      </c>
      <c r="E221">
        <v>3081964907276</v>
      </c>
      <c r="F221">
        <v>26259400.805736098</v>
      </c>
      <c r="G221">
        <v>26259400.7501112</v>
      </c>
      <c r="H221" s="1">
        <v>17544000</v>
      </c>
    </row>
    <row r="222" spans="1:8" x14ac:dyDescent="0.3">
      <c r="A222">
        <v>682</v>
      </c>
      <c r="B222" t="s">
        <v>435</v>
      </c>
      <c r="C222" t="s">
        <v>436</v>
      </c>
      <c r="D222" s="1">
        <v>131746.479432583</v>
      </c>
      <c r="E222">
        <v>3052502136632</v>
      </c>
      <c r="F222">
        <v>23169515.798667099</v>
      </c>
      <c r="G222">
        <v>23169515.783597</v>
      </c>
      <c r="H222" s="1">
        <v>16800000</v>
      </c>
    </row>
    <row r="223" spans="1:8" x14ac:dyDescent="0.3">
      <c r="A223">
        <v>620</v>
      </c>
      <c r="B223" t="s">
        <v>408</v>
      </c>
      <c r="C223" t="s">
        <v>61</v>
      </c>
      <c r="D223" s="1">
        <v>132528.74803805401</v>
      </c>
      <c r="E223">
        <v>10744776564876.6</v>
      </c>
      <c r="F223">
        <v>81075062.761412606</v>
      </c>
      <c r="G223">
        <v>81075063.036405206</v>
      </c>
      <c r="H223" s="1">
        <v>48000000</v>
      </c>
    </row>
    <row r="224" spans="1:8" x14ac:dyDescent="0.3">
      <c r="A224">
        <v>108</v>
      </c>
      <c r="B224" t="s">
        <v>156</v>
      </c>
      <c r="C224" t="s">
        <v>157</v>
      </c>
      <c r="D224" s="1">
        <v>134227.204354405</v>
      </c>
      <c r="E224">
        <v>3524423584426</v>
      </c>
      <c r="F224">
        <v>26257148.1047935</v>
      </c>
      <c r="G224">
        <v>26257148.009598501</v>
      </c>
      <c r="H224" s="1">
        <v>16320000</v>
      </c>
    </row>
    <row r="225" spans="1:8" x14ac:dyDescent="0.3">
      <c r="A225">
        <v>641</v>
      </c>
      <c r="B225" t="s">
        <v>413</v>
      </c>
      <c r="C225" t="s">
        <v>414</v>
      </c>
      <c r="D225" s="1">
        <v>135839.215189576</v>
      </c>
      <c r="E225">
        <v>7141833996920</v>
      </c>
      <c r="F225">
        <v>52575642.364783399</v>
      </c>
      <c r="G225">
        <v>52575642.524181202</v>
      </c>
      <c r="H225" s="1">
        <v>36000000</v>
      </c>
    </row>
    <row r="226" spans="1:8" x14ac:dyDescent="0.3">
      <c r="A226">
        <v>141</v>
      </c>
      <c r="B226" t="s">
        <v>166</v>
      </c>
      <c r="C226" t="s">
        <v>167</v>
      </c>
      <c r="D226" s="1">
        <v>153359.00947213199</v>
      </c>
      <c r="E226">
        <v>3189551683430</v>
      </c>
      <c r="F226">
        <v>20797941.343052302</v>
      </c>
      <c r="G226">
        <v>20797941.4111325</v>
      </c>
      <c r="H226" s="1">
        <v>15600000</v>
      </c>
    </row>
    <row r="227" spans="1:8" x14ac:dyDescent="0.3">
      <c r="A227">
        <v>477</v>
      </c>
      <c r="B227" t="s">
        <v>348</v>
      </c>
      <c r="C227" t="s">
        <v>349</v>
      </c>
      <c r="D227" s="1">
        <v>166406.36654066999</v>
      </c>
      <c r="E227">
        <v>3993801285299</v>
      </c>
      <c r="F227">
        <v>24000291.3850228</v>
      </c>
      <c r="G227">
        <v>24000291.433312502</v>
      </c>
      <c r="H227" s="1">
        <v>15600000</v>
      </c>
    </row>
    <row r="228" spans="1:8" x14ac:dyDescent="0.3">
      <c r="A228">
        <v>822</v>
      </c>
      <c r="B228" t="s">
        <v>494</v>
      </c>
      <c r="C228" t="s">
        <v>495</v>
      </c>
      <c r="D228" s="1">
        <v>187396.298417807</v>
      </c>
      <c r="E228">
        <v>4406755424586</v>
      </c>
      <c r="F228">
        <v>23515701.546894901</v>
      </c>
      <c r="G228">
        <v>23515701.531504601</v>
      </c>
      <c r="H228" s="1">
        <v>17544000</v>
      </c>
    </row>
    <row r="229" spans="1:8" x14ac:dyDescent="0.3">
      <c r="A229">
        <v>854</v>
      </c>
      <c r="B229" t="s">
        <v>512</v>
      </c>
      <c r="C229" t="s">
        <v>513</v>
      </c>
      <c r="D229" s="1">
        <v>190818.53058350101</v>
      </c>
      <c r="E229">
        <v>10026696013199.5</v>
      </c>
      <c r="F229">
        <v>52545714.415361203</v>
      </c>
      <c r="G229">
        <v>52545714.4250293</v>
      </c>
      <c r="H229" s="1">
        <v>39600000</v>
      </c>
    </row>
    <row r="230" spans="1:8" x14ac:dyDescent="0.3">
      <c r="A230">
        <v>561</v>
      </c>
      <c r="B230" t="s">
        <v>382</v>
      </c>
      <c r="C230" t="s">
        <v>383</v>
      </c>
      <c r="D230" s="1">
        <v>205646.759247899</v>
      </c>
      <c r="E230">
        <v>4389280324191.75</v>
      </c>
      <c r="F230">
        <v>21343785.529343799</v>
      </c>
      <c r="G230">
        <v>21343785.493677501</v>
      </c>
      <c r="H230" s="1">
        <v>15600000</v>
      </c>
    </row>
    <row r="231" spans="1:8" x14ac:dyDescent="0.3">
      <c r="A231">
        <v>471</v>
      </c>
      <c r="B231" t="s">
        <v>336</v>
      </c>
      <c r="C231" t="s">
        <v>337</v>
      </c>
      <c r="D231" s="1">
        <v>205670.06400287201</v>
      </c>
      <c r="E231">
        <v>4107713527750.8799</v>
      </c>
      <c r="F231">
        <v>19972345.259218302</v>
      </c>
      <c r="G231">
        <v>19972345.265499499</v>
      </c>
      <c r="H231" s="1">
        <v>15600000</v>
      </c>
    </row>
    <row r="232" spans="1:8" x14ac:dyDescent="0.3">
      <c r="A232">
        <v>862</v>
      </c>
      <c r="B232" t="s">
        <v>520</v>
      </c>
      <c r="C232" t="s">
        <v>521</v>
      </c>
      <c r="D232" s="1">
        <v>214011.711110234</v>
      </c>
      <c r="E232">
        <v>7421288168316.1797</v>
      </c>
      <c r="F232">
        <v>34677018.980954699</v>
      </c>
      <c r="G232">
        <v>34677018.910262503</v>
      </c>
      <c r="H232" s="1">
        <v>21600000</v>
      </c>
    </row>
    <row r="233" spans="1:8" x14ac:dyDescent="0.3">
      <c r="A233">
        <v>411</v>
      </c>
      <c r="B233" t="s">
        <v>299</v>
      </c>
      <c r="C233" t="s">
        <v>44</v>
      </c>
      <c r="D233" s="1">
        <v>214172.20025467899</v>
      </c>
      <c r="E233">
        <v>5114371448500</v>
      </c>
      <c r="F233">
        <v>23879716.613166202</v>
      </c>
      <c r="G233">
        <v>23879716.610241</v>
      </c>
      <c r="H233" s="1">
        <v>17544000</v>
      </c>
    </row>
    <row r="234" spans="1:8" x14ac:dyDescent="0.3">
      <c r="A234">
        <v>842</v>
      </c>
      <c r="B234" t="s">
        <v>502</v>
      </c>
      <c r="C234" t="s">
        <v>503</v>
      </c>
      <c r="D234" s="1">
        <v>234756.58409047101</v>
      </c>
      <c r="E234">
        <v>11319438526578</v>
      </c>
      <c r="F234">
        <v>48217768.078511797</v>
      </c>
      <c r="G234">
        <v>48217768.0894823</v>
      </c>
      <c r="H234" s="1">
        <v>36000000</v>
      </c>
    </row>
    <row r="235" spans="1:8" x14ac:dyDescent="0.3">
      <c r="A235">
        <v>12</v>
      </c>
      <c r="B235" t="s">
        <v>100</v>
      </c>
      <c r="C235" t="s">
        <v>101</v>
      </c>
      <c r="D235" s="1">
        <v>261898.197310686</v>
      </c>
      <c r="E235">
        <v>4818487323333</v>
      </c>
      <c r="F235">
        <v>18398321.839599799</v>
      </c>
      <c r="G235">
        <v>18398321.848231301</v>
      </c>
      <c r="H235" s="1">
        <v>15600000</v>
      </c>
    </row>
    <row r="236" spans="1:8" x14ac:dyDescent="0.3">
      <c r="A236">
        <v>492</v>
      </c>
      <c r="B236" t="s">
        <v>356</v>
      </c>
      <c r="C236" t="s">
        <v>357</v>
      </c>
      <c r="D236" s="1">
        <v>283288.50612819201</v>
      </c>
      <c r="E236">
        <v>6786891665625.5</v>
      </c>
      <c r="F236">
        <v>23957525.698392902</v>
      </c>
      <c r="G236">
        <v>23957525.652556699</v>
      </c>
      <c r="H236" s="1">
        <v>18000000</v>
      </c>
    </row>
    <row r="237" spans="1:8" x14ac:dyDescent="0.3">
      <c r="A237">
        <v>861</v>
      </c>
      <c r="B237" t="s">
        <v>518</v>
      </c>
      <c r="C237" t="s">
        <v>519</v>
      </c>
      <c r="D237" s="1">
        <v>400154.08596223599</v>
      </c>
      <c r="E237">
        <v>14848410064504</v>
      </c>
      <c r="F237">
        <v>37106731.095344402</v>
      </c>
      <c r="G237">
        <v>37106731.110313997</v>
      </c>
      <c r="H237" s="1">
        <v>22800000</v>
      </c>
    </row>
    <row r="238" spans="1:8" x14ac:dyDescent="0.3">
      <c r="A238">
        <v>841</v>
      </c>
      <c r="B238" t="s">
        <v>500</v>
      </c>
      <c r="C238" t="s">
        <v>501</v>
      </c>
      <c r="D238" s="1">
        <v>467471.70620429498</v>
      </c>
      <c r="E238">
        <v>22497271943909</v>
      </c>
      <c r="F238">
        <v>48125419.453893498</v>
      </c>
      <c r="G238">
        <v>48125419.510285102</v>
      </c>
      <c r="H238" s="1">
        <v>36000000</v>
      </c>
    </row>
    <row r="239" spans="1:8" x14ac:dyDescent="0.3">
      <c r="A239">
        <v>853</v>
      </c>
      <c r="B239" t="s">
        <v>510</v>
      </c>
      <c r="C239" t="s">
        <v>511</v>
      </c>
      <c r="D239" s="1">
        <v>510279.420797706</v>
      </c>
      <c r="E239">
        <v>20438459614282</v>
      </c>
      <c r="F239">
        <v>40053466.358355403</v>
      </c>
      <c r="G239">
        <v>40053466.341059402</v>
      </c>
      <c r="H239" s="1">
        <v>36000000</v>
      </c>
    </row>
  </sheetData>
  <autoFilter ref="A1:H239" xr:uid="{00000000-0001-0000-0100-000000000000}">
    <sortState xmlns:xlrd2="http://schemas.microsoft.com/office/spreadsheetml/2017/richdata2" ref="A2:H239">
      <sortCondition ref="D1:D239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ciiu2d</vt:lpstr>
      <vt:lpstr>ciiu3d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Doris Adriana Osorio Barrios</cp:lastModifiedBy>
  <dcterms:created xsi:type="dcterms:W3CDTF">2026-04-29T17:25:56Z</dcterms:created>
  <dcterms:modified xsi:type="dcterms:W3CDTF">2026-04-29T21:23:06Z</dcterms:modified>
</cp:coreProperties>
</file>