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rge\Downloads\"/>
    </mc:Choice>
  </mc:AlternateContent>
  <xr:revisionPtr revIDLastSave="0" documentId="13_ncr:1_{BBA4B43F-3426-461C-9979-FC73C5C9F692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1. Resumen Ejecutivo" sheetId="1" r:id="rId1"/>
    <sheet name="2. Género" sheetId="2" r:id="rId2"/>
    <sheet name="3. Tipo de Trabajador" sheetId="3" r:id="rId3"/>
    <sheet name="4. Salarios por Categoría" sheetId="4" r:id="rId4"/>
    <sheet name="5. EAM vs GEIH" sheetId="5" r:id="rId5"/>
    <sheet name="6. Productividad" sheetId="6" r:id="rId6"/>
    <sheet name="0. Datos Originale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6" l="1"/>
  <c r="F2" i="6"/>
  <c r="G2" i="5"/>
  <c r="D2" i="3"/>
  <c r="E2" i="2"/>
  <c r="G22" i="6"/>
  <c r="F22" i="6"/>
  <c r="E22" i="6"/>
  <c r="G21" i="6"/>
  <c r="F21" i="6"/>
  <c r="E21" i="6"/>
  <c r="G20" i="6"/>
  <c r="F20" i="6"/>
  <c r="E20" i="6"/>
  <c r="G19" i="6"/>
  <c r="F19" i="6"/>
  <c r="E19" i="6"/>
  <c r="G18" i="6"/>
  <c r="F18" i="6"/>
  <c r="E18" i="6"/>
  <c r="G17" i="6"/>
  <c r="F17" i="6"/>
  <c r="E17" i="6"/>
  <c r="G16" i="6"/>
  <c r="F16" i="6"/>
  <c r="E16" i="6"/>
  <c r="G15" i="6"/>
  <c r="F15" i="6"/>
  <c r="E15" i="6"/>
  <c r="G14" i="6"/>
  <c r="F14" i="6"/>
  <c r="E14" i="6"/>
  <c r="G13" i="6"/>
  <c r="F13" i="6"/>
  <c r="E13" i="6"/>
  <c r="G12" i="6"/>
  <c r="F12" i="6"/>
  <c r="E12" i="6"/>
  <c r="G11" i="6"/>
  <c r="F11" i="6"/>
  <c r="E11" i="6"/>
  <c r="G10" i="6"/>
  <c r="F10" i="6"/>
  <c r="E10" i="6"/>
  <c r="G9" i="6"/>
  <c r="F9" i="6"/>
  <c r="E9" i="6"/>
  <c r="G8" i="6"/>
  <c r="F8" i="6"/>
  <c r="E8" i="6"/>
  <c r="G7" i="6"/>
  <c r="F7" i="6"/>
  <c r="E7" i="6"/>
  <c r="G6" i="6"/>
  <c r="F6" i="6"/>
  <c r="E6" i="6"/>
  <c r="G5" i="6"/>
  <c r="F5" i="6"/>
  <c r="E5" i="6"/>
  <c r="G4" i="6"/>
  <c r="F4" i="6"/>
  <c r="E4" i="6"/>
  <c r="G3" i="6"/>
  <c r="F3" i="6"/>
  <c r="E3" i="6"/>
  <c r="E2" i="6"/>
  <c r="H22" i="5"/>
  <c r="G22" i="5"/>
  <c r="H21" i="5"/>
  <c r="G21" i="5"/>
  <c r="H20" i="5"/>
  <c r="G20" i="5"/>
  <c r="H19" i="5"/>
  <c r="G19" i="5"/>
  <c r="H18" i="5"/>
  <c r="G18" i="5"/>
  <c r="H17" i="5"/>
  <c r="G17" i="5"/>
  <c r="H16" i="5"/>
  <c r="G16" i="5"/>
  <c r="H15" i="5"/>
  <c r="G15" i="5"/>
  <c r="H14" i="5"/>
  <c r="G14" i="5"/>
  <c r="H13" i="5"/>
  <c r="G13" i="5"/>
  <c r="H12" i="5"/>
  <c r="G12" i="5"/>
  <c r="H11" i="5"/>
  <c r="G11" i="5"/>
  <c r="H10" i="5"/>
  <c r="G10" i="5"/>
  <c r="H9" i="5"/>
  <c r="G9" i="5"/>
  <c r="H8" i="5"/>
  <c r="G8" i="5"/>
  <c r="H7" i="5"/>
  <c r="G7" i="5"/>
  <c r="H6" i="5"/>
  <c r="G6" i="5"/>
  <c r="H5" i="5"/>
  <c r="G5" i="5"/>
  <c r="H4" i="5"/>
  <c r="G4" i="5"/>
  <c r="H3" i="5"/>
  <c r="G3" i="5"/>
  <c r="H2" i="5"/>
  <c r="H22" i="3"/>
  <c r="F22" i="3"/>
  <c r="D22" i="3"/>
  <c r="H21" i="3"/>
  <c r="F21" i="3"/>
  <c r="D21" i="3"/>
  <c r="H20" i="3"/>
  <c r="F20" i="3"/>
  <c r="D20" i="3"/>
  <c r="H19" i="3"/>
  <c r="F19" i="3"/>
  <c r="D19" i="3"/>
  <c r="H18" i="3"/>
  <c r="F18" i="3"/>
  <c r="D18" i="3"/>
  <c r="H17" i="3"/>
  <c r="F17" i="3"/>
  <c r="D17" i="3"/>
  <c r="H16" i="3"/>
  <c r="F16" i="3"/>
  <c r="D16" i="3"/>
  <c r="H15" i="3"/>
  <c r="F15" i="3"/>
  <c r="D15" i="3"/>
  <c r="H14" i="3"/>
  <c r="F14" i="3"/>
  <c r="D14" i="3"/>
  <c r="H13" i="3"/>
  <c r="F13" i="3"/>
  <c r="D13" i="3"/>
  <c r="H12" i="3"/>
  <c r="F12" i="3"/>
  <c r="D12" i="3"/>
  <c r="H11" i="3"/>
  <c r="F11" i="3"/>
  <c r="D11" i="3"/>
  <c r="H10" i="3"/>
  <c r="F10" i="3"/>
  <c r="D10" i="3"/>
  <c r="H9" i="3"/>
  <c r="F9" i="3"/>
  <c r="D9" i="3"/>
  <c r="H8" i="3"/>
  <c r="F8" i="3"/>
  <c r="D8" i="3"/>
  <c r="H7" i="3"/>
  <c r="F7" i="3"/>
  <c r="D7" i="3"/>
  <c r="H6" i="3"/>
  <c r="F6" i="3"/>
  <c r="D6" i="3"/>
  <c r="H5" i="3"/>
  <c r="F5" i="3"/>
  <c r="D5" i="3"/>
  <c r="H4" i="3"/>
  <c r="F4" i="3"/>
  <c r="D4" i="3"/>
  <c r="H3" i="3"/>
  <c r="F3" i="3"/>
  <c r="D3" i="3"/>
  <c r="H2" i="3"/>
  <c r="F2" i="3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2" i="2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<sst xmlns="http://schemas.openxmlformats.org/spreadsheetml/2006/main" count="215" uniqueCount="77">
  <si>
    <t>Sector</t>
  </si>
  <si>
    <t>Personal EAM</t>
  </si>
  <si>
    <t>Valor Agregado (millones)</t>
  </si>
  <si>
    <t>Productividad</t>
  </si>
  <si>
    <t>Salario Promedio EAM</t>
  </si>
  <si>
    <t>Trabajadores GEIH</t>
  </si>
  <si>
    <t>Ingreso Promedio GEIH</t>
  </si>
  <si>
    <t>Elaboración de productos alimenticios</t>
  </si>
  <si>
    <t>Elaboración de bebidas</t>
  </si>
  <si>
    <t>Fabricación de productos textiles</t>
  </si>
  <si>
    <t>Confección de prendas de vestir</t>
  </si>
  <si>
    <t>Curtido y recurtido de cueros; fabricación de calzado; fabricación de artículos de viaje, maletas, bolsos de mano y artículos similares, y fabricación de artículos de talabartería y guarnicionería; adobo y teñido de pieles</t>
  </si>
  <si>
    <t>Transformación de la madera y fabricación de productos de madera y de corcho, excepto muebles; fabricación de artículos de cestería y espartería</t>
  </si>
  <si>
    <t>Fabricación de papel, cartón y productos de papel y cartón</t>
  </si>
  <si>
    <t>Actividades de impresión y de producción de copias a partir de grabaciones originales</t>
  </si>
  <si>
    <t>Coquización, fabricación de productos de la refinación del petróleo y actividad de mezcla de combustibles</t>
  </si>
  <si>
    <t>Fabricación de sustancias y productos químicos</t>
  </si>
  <si>
    <t>Fabricación de productos farmacéuticos, sustancias químicas medicinales y productos botánicos de uso farmacéutico</t>
  </si>
  <si>
    <t>Fabricación de productos de caucho y de plástico</t>
  </si>
  <si>
    <t>Fabricación de otros productos minerales no metálicos</t>
  </si>
  <si>
    <t>Fabricación de productos metalúrgicos básicos</t>
  </si>
  <si>
    <t>Fabricación de productos elaborados de metal, excepto maquinaria y equipo</t>
  </si>
  <si>
    <t>Fabricación de aparatos y equipo eléctrico</t>
  </si>
  <si>
    <t>Fabricación de maquinaria y equipo n.c.p.</t>
  </si>
  <si>
    <t>Fabricación de vehículos automotores, remolques y semirremolques</t>
  </si>
  <si>
    <t>Fabricación de otros tipos de equipo de transporte</t>
  </si>
  <si>
    <t>Fabricación de muebles, colchones y somieres</t>
  </si>
  <si>
    <t>Otras industrias manufactureras</t>
  </si>
  <si>
    <t>Total Personal</t>
  </si>
  <si>
    <t>Hombres</t>
  </si>
  <si>
    <t>Mujeres</t>
  </si>
  <si>
    <t>% Hombres</t>
  </si>
  <si>
    <t>% Mujeres</t>
  </si>
  <si>
    <t>Profesionales/Técnicos</t>
  </si>
  <si>
    <t>% Prof/Téc</t>
  </si>
  <si>
    <t>Obreros/Operarios</t>
  </si>
  <si>
    <t>% Obreros</t>
  </si>
  <si>
    <t>Directivos/Admin</t>
  </si>
  <si>
    <t>% Directivos</t>
  </si>
  <si>
    <t>Salario Profesional/Técnico</t>
  </si>
  <si>
    <t>Salario Obrero/Operario</t>
  </si>
  <si>
    <t>Salario Directivo/Admin</t>
  </si>
  <si>
    <t>Salario Promedio General</t>
  </si>
  <si>
    <t>Salario Prom EAM</t>
  </si>
  <si>
    <t>Ingreso Prom GEIH</t>
  </si>
  <si>
    <t>Ingreso Mediano GEIH</t>
  </si>
  <si>
    <t>Dif Personal (%)</t>
  </si>
  <si>
    <t>Dif Ingreso (%)</t>
  </si>
  <si>
    <t>Establecimientos</t>
  </si>
  <si>
    <t>Personal Total</t>
  </si>
  <si>
    <t>Valor Agregado</t>
  </si>
  <si>
    <t>VA (millones)</t>
  </si>
  <si>
    <t>Productividad (VA/Trabajador)</t>
  </si>
  <si>
    <t>VA por Establecimiento (millones)</t>
  </si>
  <si>
    <t>VA_EAM</t>
  </si>
  <si>
    <t>Establecimientos_EAM</t>
  </si>
  <si>
    <t>VA_por_Estab</t>
  </si>
  <si>
    <t>Personal_Total</t>
  </si>
  <si>
    <t>Pct_Hombres</t>
  </si>
  <si>
    <t>Pct_Mujeres</t>
  </si>
  <si>
    <t>Nac_Prof_Tec</t>
  </si>
  <si>
    <t>Pct_Nac_Prof</t>
  </si>
  <si>
    <t>Ex_Prof_Tec</t>
  </si>
  <si>
    <t>Pct_Ex_Prof</t>
  </si>
  <si>
    <t>Nac_Obreros</t>
  </si>
  <si>
    <t>Pct_Obreros</t>
  </si>
  <si>
    <t>Nac_Directivos</t>
  </si>
  <si>
    <t>Pct_Directivos</t>
  </si>
  <si>
    <t>Salario_Prof_Tec</t>
  </si>
  <si>
    <t>Salario_Obrero</t>
  </si>
  <si>
    <t>Salario_Directivo</t>
  </si>
  <si>
    <t>Salario_Promedio_EAM</t>
  </si>
  <si>
    <t>Trabajadores_GEIH</t>
  </si>
  <si>
    <t>Ingreso_Total_GEIH</t>
  </si>
  <si>
    <t>Promedio_GEIH</t>
  </si>
  <si>
    <t>Mediana_GEIH</t>
  </si>
  <si>
    <t>Mensual_GEIH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</si>
</sst>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0.0%"/>
    <numFmt numFmtId="166" formatCode="#,##0&quot; mill&quot;"/>
    <numFmt numFmtId="167" formatCode="#,##0.0&quot; mill&quot;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3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165" fontId="0" fillId="0" borderId="1" xfId="0" applyNumberFormat="1" applyBorder="1" applyAlignment="1">
      <alignment horizontal="right" vertical="center"/>
    </xf>
    <xf numFmtId="166" fontId="0" fillId="0" borderId="1" xfId="0" applyNumberFormat="1" applyBorder="1"/>
    <xf numFmtId="167" fontId="0" fillId="0" borderId="1" xfId="0" applyNumberFormat="1" applyBorder="1"/>
    <xf numFmtId="0" fontId="0" fillId="0" borderId="1" xfId="0" applyBorder="1" applyAlignment="1">
      <alignment horizontal="left" vertical="center" wrapText="1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workbookViewId="0">
      <selection activeCell="B2" sqref="B2"/>
    </sheetView>
  </sheetViews>
  <sheetFormatPr baseColWidth="10" defaultColWidth="8.88671875" defaultRowHeight="14.4" x14ac:dyDescent="0.3"/>
  <cols>
    <col min="1" max="1" width="50" customWidth="1"/>
    <col min="2" max="2" width="15" customWidth="1"/>
    <col min="3" max="3" width="22" customWidth="1"/>
    <col min="4" max="4" width="15" customWidth="1"/>
    <col min="5" max="5" width="20" customWidth="1"/>
    <col min="6" max="6" width="18" customWidth="1"/>
    <col min="7" max="7" width="20" customWidth="1"/>
  </cols>
  <sheetData>
    <row r="1" spans="1:7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3">
        <v>184924</v>
      </c>
      <c r="C2" s="3">
        <f>41513051405/1000000</f>
        <v>41513.051404999998</v>
      </c>
      <c r="D2" s="3">
        <v>224487.094184638</v>
      </c>
      <c r="E2" s="4">
        <v>49912.860391295893</v>
      </c>
      <c r="F2" s="3">
        <v>292756.70455157763</v>
      </c>
      <c r="G2" s="4">
        <v>25524950</v>
      </c>
    </row>
    <row r="3" spans="1:7" x14ac:dyDescent="0.3">
      <c r="A3" s="2" t="s">
        <v>8</v>
      </c>
      <c r="B3" s="3">
        <v>12577</v>
      </c>
      <c r="C3" s="3">
        <f>7916248241/1000000</f>
        <v>7916.2482410000002</v>
      </c>
      <c r="D3" s="3">
        <v>629422.61596565158</v>
      </c>
      <c r="E3" s="4">
        <v>75908.176830722747</v>
      </c>
      <c r="F3" s="3">
        <v>53982.389692664146</v>
      </c>
      <c r="G3" s="4">
        <v>29436578</v>
      </c>
    </row>
    <row r="4" spans="1:7" x14ac:dyDescent="0.3">
      <c r="A4" s="2" t="s">
        <v>9</v>
      </c>
      <c r="B4" s="3">
        <v>27878</v>
      </c>
      <c r="C4" s="3">
        <f>2657337121/1000000</f>
        <v>2657.337121</v>
      </c>
      <c r="D4" s="3">
        <v>95320.220998636913</v>
      </c>
      <c r="E4" s="4">
        <v>45184.056675514737</v>
      </c>
      <c r="F4" s="3">
        <v>33381.501019895077</v>
      </c>
      <c r="G4" s="4">
        <v>24009232</v>
      </c>
    </row>
    <row r="5" spans="1:7" x14ac:dyDescent="0.3">
      <c r="A5" s="2" t="s">
        <v>10</v>
      </c>
      <c r="B5" s="3">
        <v>66014</v>
      </c>
      <c r="C5" s="3">
        <f>5608420074/1000000</f>
        <v>5608.4200739999997</v>
      </c>
      <c r="D5" s="3">
        <v>84958.040324779591</v>
      </c>
      <c r="E5" s="4">
        <v>38283.707910443241</v>
      </c>
      <c r="F5" s="3">
        <v>156115.59936070439</v>
      </c>
      <c r="G5" s="4">
        <v>20875286</v>
      </c>
    </row>
    <row r="6" spans="1:7" ht="55.2" x14ac:dyDescent="0.3">
      <c r="A6" s="2" t="s">
        <v>11</v>
      </c>
      <c r="B6" s="3">
        <v>14298</v>
      </c>
      <c r="C6" s="3">
        <f>856536941/1000000</f>
        <v>856.53694099999996</v>
      </c>
      <c r="D6" s="3">
        <v>59906.066652678703</v>
      </c>
      <c r="E6" s="4">
        <v>38433.070988949497</v>
      </c>
      <c r="F6" s="3">
        <v>40735.455275535583</v>
      </c>
      <c r="G6" s="4">
        <v>18153898</v>
      </c>
    </row>
    <row r="7" spans="1:7" ht="41.4" x14ac:dyDescent="0.3">
      <c r="A7" s="2" t="s">
        <v>12</v>
      </c>
      <c r="B7" s="3">
        <v>3708</v>
      </c>
      <c r="C7" s="3">
        <f>364104823/1000000</f>
        <v>364.10482300000001</v>
      </c>
      <c r="D7" s="3">
        <v>98194.396709816618</v>
      </c>
      <c r="E7" s="4">
        <v>41873.188781014032</v>
      </c>
      <c r="F7" s="3">
        <v>7992.1848473548889</v>
      </c>
      <c r="G7" s="4">
        <v>22457712</v>
      </c>
    </row>
    <row r="8" spans="1:7" x14ac:dyDescent="0.3">
      <c r="A8" s="2" t="s">
        <v>13</v>
      </c>
      <c r="B8" s="3">
        <v>20647</v>
      </c>
      <c r="C8" s="3">
        <f>5966261497/1000000</f>
        <v>5966.2614970000004</v>
      </c>
      <c r="D8" s="3">
        <v>288965.05531069892</v>
      </c>
      <c r="E8" s="4">
        <v>76262.751247154549</v>
      </c>
      <c r="F8" s="3">
        <v>36072.072888374329</v>
      </c>
      <c r="G8" s="4">
        <v>41549812</v>
      </c>
    </row>
    <row r="9" spans="1:7" ht="27.6" x14ac:dyDescent="0.3">
      <c r="A9" s="2" t="s">
        <v>14</v>
      </c>
      <c r="B9" s="3">
        <v>17959</v>
      </c>
      <c r="C9" s="3">
        <f>2386304024/1000000</f>
        <v>2386.304024</v>
      </c>
      <c r="D9" s="3">
        <v>132875.1057408542</v>
      </c>
      <c r="E9" s="4">
        <v>46062.00139205969</v>
      </c>
      <c r="F9" s="3">
        <v>14227.397269248961</v>
      </c>
      <c r="G9" s="4">
        <v>22549986</v>
      </c>
    </row>
    <row r="10" spans="1:7" ht="27.6" x14ac:dyDescent="0.3">
      <c r="A10" s="2" t="s">
        <v>15</v>
      </c>
      <c r="B10" s="3">
        <v>7421</v>
      </c>
      <c r="C10" s="3">
        <f>3819024349/1000000</f>
        <v>3819.0243489999998</v>
      </c>
      <c r="D10" s="3">
        <v>514623.95216278132</v>
      </c>
      <c r="E10" s="4">
        <v>100934.9242689665</v>
      </c>
      <c r="F10" s="3">
        <v>7219.251886844635</v>
      </c>
      <c r="G10" s="4">
        <v>30195434</v>
      </c>
    </row>
    <row r="11" spans="1:7" x14ac:dyDescent="0.3">
      <c r="A11" s="2" t="s">
        <v>16</v>
      </c>
      <c r="B11" s="3">
        <v>59382</v>
      </c>
      <c r="C11" s="3">
        <f>18978868223/1000000</f>
        <v>18978.868223000001</v>
      </c>
      <c r="D11" s="3">
        <v>319606.41647300532</v>
      </c>
      <c r="E11" s="4">
        <v>66036.521454312751</v>
      </c>
      <c r="F11" s="3">
        <v>81296.940004348755</v>
      </c>
      <c r="G11" s="4">
        <v>28205038</v>
      </c>
    </row>
    <row r="12" spans="1:7" ht="27.6" x14ac:dyDescent="0.3">
      <c r="A12" s="2" t="s">
        <v>17</v>
      </c>
      <c r="B12" s="3">
        <v>31240</v>
      </c>
      <c r="C12" s="3">
        <f>7362333654/1000000</f>
        <v>7362.333654</v>
      </c>
      <c r="D12" s="3">
        <v>235670.09135723431</v>
      </c>
      <c r="E12" s="4">
        <v>70018.865941101147</v>
      </c>
      <c r="F12" s="3">
        <v>50389.893980741501</v>
      </c>
      <c r="G12" s="4">
        <v>41492988</v>
      </c>
    </row>
    <row r="13" spans="1:7" x14ac:dyDescent="0.3">
      <c r="A13" s="2" t="s">
        <v>18</v>
      </c>
      <c r="B13" s="3">
        <v>62974</v>
      </c>
      <c r="C13" s="3">
        <f>7989186541/1000000</f>
        <v>7989.186541</v>
      </c>
      <c r="D13" s="3">
        <v>126864.8416965732</v>
      </c>
      <c r="E13" s="4">
        <v>49338.556753580837</v>
      </c>
      <c r="F13" s="3">
        <v>95304.083910703659</v>
      </c>
      <c r="G13" s="4">
        <v>25629082</v>
      </c>
    </row>
    <row r="14" spans="1:7" x14ac:dyDescent="0.3">
      <c r="A14" s="2" t="s">
        <v>19</v>
      </c>
      <c r="B14" s="3">
        <v>39314</v>
      </c>
      <c r="C14" s="3">
        <f>9372191123/1000000</f>
        <v>9372.1911230000005</v>
      </c>
      <c r="D14" s="3">
        <v>238393.2218293738</v>
      </c>
      <c r="E14" s="4">
        <v>57497.088340031543</v>
      </c>
      <c r="F14" s="3">
        <v>65302.21913433075</v>
      </c>
      <c r="G14" s="4">
        <v>32789306</v>
      </c>
    </row>
    <row r="15" spans="1:7" x14ac:dyDescent="0.3">
      <c r="A15" s="2" t="s">
        <v>20</v>
      </c>
      <c r="B15" s="3">
        <v>13174</v>
      </c>
      <c r="C15" s="3">
        <f>3706062574/1000000</f>
        <v>3706.062574</v>
      </c>
      <c r="D15" s="3">
        <v>281316.42432063149</v>
      </c>
      <c r="E15" s="4">
        <v>65743.378169121002</v>
      </c>
      <c r="F15" s="3">
        <v>16507.17465925217</v>
      </c>
      <c r="G15" s="4">
        <v>25457616</v>
      </c>
    </row>
    <row r="16" spans="1:7" ht="27.6" x14ac:dyDescent="0.3">
      <c r="A16" s="2" t="s">
        <v>21</v>
      </c>
      <c r="B16" s="3">
        <v>34647</v>
      </c>
      <c r="C16" s="3">
        <f>4039069361/1000000</f>
        <v>4039.0693609999998</v>
      </c>
      <c r="D16" s="3">
        <v>116577.7516379485</v>
      </c>
      <c r="E16" s="4">
        <v>47414.098161456983</v>
      </c>
      <c r="F16" s="3">
        <v>76325.984061479568</v>
      </c>
      <c r="G16" s="4">
        <v>25333972</v>
      </c>
    </row>
    <row r="17" spans="1:7" x14ac:dyDescent="0.3">
      <c r="A17" s="2" t="s">
        <v>22</v>
      </c>
      <c r="B17" s="3">
        <v>23580</v>
      </c>
      <c r="C17" s="3">
        <f>4164940526/1000000</f>
        <v>4164.9405260000003</v>
      </c>
      <c r="D17" s="3">
        <v>176630.21738761661</v>
      </c>
      <c r="E17" s="4">
        <v>64930.592536047501</v>
      </c>
      <c r="F17" s="3">
        <v>25539.73281955719</v>
      </c>
      <c r="G17" s="4">
        <v>30489758</v>
      </c>
    </row>
    <row r="18" spans="1:7" x14ac:dyDescent="0.3">
      <c r="A18" s="2" t="s">
        <v>23</v>
      </c>
      <c r="B18" s="3">
        <v>16841</v>
      </c>
      <c r="C18" s="3">
        <f>1673660110/1000000</f>
        <v>1673.66011</v>
      </c>
      <c r="D18" s="3">
        <v>99380.090849712011</v>
      </c>
      <c r="E18" s="4">
        <v>51268.443976010924</v>
      </c>
      <c r="F18" s="3">
        <v>17297.38198184967</v>
      </c>
      <c r="G18" s="4">
        <v>30533062</v>
      </c>
    </row>
    <row r="19" spans="1:7" ht="27.6" x14ac:dyDescent="0.3">
      <c r="A19" s="2" t="s">
        <v>24</v>
      </c>
      <c r="B19" s="3">
        <v>10463</v>
      </c>
      <c r="C19" s="3">
        <f>778514487/1000000</f>
        <v>778.51448700000003</v>
      </c>
      <c r="D19" s="3">
        <v>74406.430947147092</v>
      </c>
      <c r="E19" s="4">
        <v>44498.073401510082</v>
      </c>
      <c r="F19" s="3">
        <v>19541.168630599979</v>
      </c>
      <c r="G19" s="4">
        <v>25542742</v>
      </c>
    </row>
    <row r="20" spans="1:7" x14ac:dyDescent="0.3">
      <c r="A20" s="2" t="s">
        <v>25</v>
      </c>
      <c r="B20" s="3">
        <v>6880</v>
      </c>
      <c r="C20" s="3">
        <f>1226916083/1000000</f>
        <v>1226.9160830000001</v>
      </c>
      <c r="D20" s="3">
        <v>178330.8260174419</v>
      </c>
      <c r="E20" s="4">
        <v>52039.719040697673</v>
      </c>
      <c r="F20" s="3">
        <v>8611.7141191959381</v>
      </c>
      <c r="G20" s="4">
        <v>23311912</v>
      </c>
    </row>
    <row r="21" spans="1:7" x14ac:dyDescent="0.3">
      <c r="A21" s="2" t="s">
        <v>26</v>
      </c>
      <c r="B21" s="3">
        <v>17096</v>
      </c>
      <c r="C21" s="3">
        <f>1596628479/1000000</f>
        <v>1596.628479</v>
      </c>
      <c r="D21" s="3">
        <v>93391.932557323351</v>
      </c>
      <c r="E21" s="4">
        <v>42506.463968179691</v>
      </c>
      <c r="F21" s="3">
        <v>39759.545756340027</v>
      </c>
      <c r="G21" s="4">
        <v>23251042</v>
      </c>
    </row>
    <row r="22" spans="1:7" x14ac:dyDescent="0.3">
      <c r="A22" s="2" t="s">
        <v>27</v>
      </c>
      <c r="B22" s="3">
        <v>59219</v>
      </c>
      <c r="C22" s="3">
        <f>16290782103/1000000</f>
        <v>16290.782103</v>
      </c>
      <c r="D22" s="3">
        <v>275093.83986558369</v>
      </c>
      <c r="E22" s="4">
        <v>62818.327276718621</v>
      </c>
      <c r="F22" s="3">
        <v>29384.831278324131</v>
      </c>
      <c r="G22" s="4">
        <v>28681332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workbookViewId="0">
      <selection activeCell="G2" sqref="G2"/>
    </sheetView>
  </sheetViews>
  <sheetFormatPr baseColWidth="10" defaultColWidth="8.88671875" defaultRowHeight="14.4" x14ac:dyDescent="0.3"/>
  <cols>
    <col min="1" max="1" width="50" customWidth="1"/>
    <col min="2" max="2" width="15" customWidth="1"/>
    <col min="3" max="6" width="12" customWidth="1"/>
  </cols>
  <sheetData>
    <row r="1" spans="1:6" ht="30" customHeight="1" x14ac:dyDescent="0.3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</row>
    <row r="2" spans="1:6" x14ac:dyDescent="0.3">
      <c r="A2" s="2" t="s">
        <v>7</v>
      </c>
      <c r="B2" s="3">
        <v>184924</v>
      </c>
      <c r="C2" s="3">
        <v>122748</v>
      </c>
      <c r="D2" s="3">
        <v>62176</v>
      </c>
      <c r="E2" s="5">
        <f>C2/B2</f>
        <v>0.66377538880837528</v>
      </c>
      <c r="F2" s="5">
        <f t="shared" ref="F2:F22" si="0">D2/B2</f>
        <v>0.33622461119162467</v>
      </c>
    </row>
    <row r="3" spans="1:6" x14ac:dyDescent="0.3">
      <c r="A3" s="2" t="s">
        <v>8</v>
      </c>
      <c r="B3" s="3">
        <v>12577</v>
      </c>
      <c r="C3" s="3">
        <v>9456</v>
      </c>
      <c r="D3" s="3">
        <v>3121</v>
      </c>
      <c r="E3" s="5">
        <f t="shared" ref="E2:E22" si="1">C3/B3</f>
        <v>0.7518486125467122</v>
      </c>
      <c r="F3" s="5">
        <f t="shared" si="0"/>
        <v>0.24815138745328774</v>
      </c>
    </row>
    <row r="4" spans="1:6" x14ac:dyDescent="0.3">
      <c r="A4" s="2" t="s">
        <v>9</v>
      </c>
      <c r="B4" s="3">
        <v>27878</v>
      </c>
      <c r="C4" s="3">
        <v>17939</v>
      </c>
      <c r="D4" s="3">
        <v>9939</v>
      </c>
      <c r="E4" s="5">
        <f t="shared" si="1"/>
        <v>0.64348231580457704</v>
      </c>
      <c r="F4" s="5">
        <f t="shared" si="0"/>
        <v>0.3565176841954229</v>
      </c>
    </row>
    <row r="5" spans="1:6" x14ac:dyDescent="0.3">
      <c r="A5" s="2" t="s">
        <v>10</v>
      </c>
      <c r="B5" s="3">
        <v>66014</v>
      </c>
      <c r="C5" s="3">
        <v>20680</v>
      </c>
      <c r="D5" s="3">
        <v>45334</v>
      </c>
      <c r="E5" s="5">
        <f t="shared" si="1"/>
        <v>0.31326688278244008</v>
      </c>
      <c r="F5" s="5">
        <f t="shared" si="0"/>
        <v>0.68673311721755992</v>
      </c>
    </row>
    <row r="6" spans="1:6" ht="55.2" x14ac:dyDescent="0.3">
      <c r="A6" s="2" t="s">
        <v>11</v>
      </c>
      <c r="B6" s="3">
        <v>14298</v>
      </c>
      <c r="C6" s="3">
        <v>7301</v>
      </c>
      <c r="D6" s="3">
        <v>6997</v>
      </c>
      <c r="E6" s="5">
        <f t="shared" si="1"/>
        <v>0.51063085746258219</v>
      </c>
      <c r="F6" s="5">
        <f t="shared" si="0"/>
        <v>0.48936914253741781</v>
      </c>
    </row>
    <row r="7" spans="1:6" ht="41.4" x14ac:dyDescent="0.3">
      <c r="A7" s="2" t="s">
        <v>12</v>
      </c>
      <c r="B7" s="3">
        <v>3708</v>
      </c>
      <c r="C7" s="3">
        <v>3013</v>
      </c>
      <c r="D7" s="3">
        <v>695</v>
      </c>
      <c r="E7" s="5">
        <f t="shared" si="1"/>
        <v>0.81256742179072272</v>
      </c>
      <c r="F7" s="5">
        <f t="shared" si="0"/>
        <v>0.18743257820927725</v>
      </c>
    </row>
    <row r="8" spans="1:6" x14ac:dyDescent="0.3">
      <c r="A8" s="2" t="s">
        <v>13</v>
      </c>
      <c r="B8" s="3">
        <v>20647</v>
      </c>
      <c r="C8" s="3">
        <v>14772</v>
      </c>
      <c r="D8" s="3">
        <v>5875</v>
      </c>
      <c r="E8" s="5">
        <f t="shared" si="1"/>
        <v>0.71545502978640962</v>
      </c>
      <c r="F8" s="5">
        <f t="shared" si="0"/>
        <v>0.28454497021359038</v>
      </c>
    </row>
    <row r="9" spans="1:6" ht="27.6" x14ac:dyDescent="0.3">
      <c r="A9" s="2" t="s">
        <v>14</v>
      </c>
      <c r="B9" s="3">
        <v>17959</v>
      </c>
      <c r="C9" s="3">
        <v>10433</v>
      </c>
      <c r="D9" s="3">
        <v>7526</v>
      </c>
      <c r="E9" s="5">
        <f t="shared" si="1"/>
        <v>0.5809343504649479</v>
      </c>
      <c r="F9" s="5">
        <f t="shared" si="0"/>
        <v>0.41906564953505204</v>
      </c>
    </row>
    <row r="10" spans="1:6" ht="27.6" x14ac:dyDescent="0.3">
      <c r="A10" s="2" t="s">
        <v>15</v>
      </c>
      <c r="B10" s="3">
        <v>7421</v>
      </c>
      <c r="C10" s="3">
        <v>5679</v>
      </c>
      <c r="D10" s="3">
        <v>1742</v>
      </c>
      <c r="E10" s="5">
        <f t="shared" si="1"/>
        <v>0.76526074653011722</v>
      </c>
      <c r="F10" s="5">
        <f t="shared" si="0"/>
        <v>0.23473925346988275</v>
      </c>
    </row>
    <row r="11" spans="1:6" x14ac:dyDescent="0.3">
      <c r="A11" s="2" t="s">
        <v>16</v>
      </c>
      <c r="B11" s="3">
        <v>59382</v>
      </c>
      <c r="C11" s="3">
        <v>34674</v>
      </c>
      <c r="D11" s="3">
        <v>24708</v>
      </c>
      <c r="E11" s="5">
        <f t="shared" si="1"/>
        <v>0.58391431746994038</v>
      </c>
      <c r="F11" s="5">
        <f t="shared" si="0"/>
        <v>0.41608568253005962</v>
      </c>
    </row>
    <row r="12" spans="1:6" ht="27.6" x14ac:dyDescent="0.3">
      <c r="A12" s="2" t="s">
        <v>17</v>
      </c>
      <c r="B12" s="3">
        <v>31240</v>
      </c>
      <c r="C12" s="3">
        <v>14196</v>
      </c>
      <c r="D12" s="3">
        <v>17044</v>
      </c>
      <c r="E12" s="5">
        <f t="shared" si="1"/>
        <v>0.45441741357234317</v>
      </c>
      <c r="F12" s="5">
        <f t="shared" si="0"/>
        <v>0.54558258642765689</v>
      </c>
    </row>
    <row r="13" spans="1:6" x14ac:dyDescent="0.3">
      <c r="A13" s="2" t="s">
        <v>18</v>
      </c>
      <c r="B13" s="3">
        <v>62974</v>
      </c>
      <c r="C13" s="3">
        <v>40513</v>
      </c>
      <c r="D13" s="3">
        <v>22461</v>
      </c>
      <c r="E13" s="5">
        <f t="shared" si="1"/>
        <v>0.64332899291771206</v>
      </c>
      <c r="F13" s="5">
        <f t="shared" si="0"/>
        <v>0.35667100708228794</v>
      </c>
    </row>
    <row r="14" spans="1:6" x14ac:dyDescent="0.3">
      <c r="A14" s="2" t="s">
        <v>19</v>
      </c>
      <c r="B14" s="3">
        <v>39314</v>
      </c>
      <c r="C14" s="3">
        <v>34000</v>
      </c>
      <c r="D14" s="3">
        <v>5314</v>
      </c>
      <c r="E14" s="5">
        <f t="shared" si="1"/>
        <v>0.8648318665106578</v>
      </c>
      <c r="F14" s="5">
        <f t="shared" si="0"/>
        <v>0.13516813348934223</v>
      </c>
    </row>
    <row r="15" spans="1:6" x14ac:dyDescent="0.3">
      <c r="A15" s="2" t="s">
        <v>20</v>
      </c>
      <c r="B15" s="3">
        <v>13174</v>
      </c>
      <c r="C15" s="3">
        <v>11104</v>
      </c>
      <c r="D15" s="3">
        <v>2070</v>
      </c>
      <c r="E15" s="5">
        <f t="shared" si="1"/>
        <v>0.84287232427508729</v>
      </c>
      <c r="F15" s="5">
        <f t="shared" si="0"/>
        <v>0.15712767572491271</v>
      </c>
    </row>
    <row r="16" spans="1:6" ht="27.6" x14ac:dyDescent="0.3">
      <c r="A16" s="2" t="s">
        <v>21</v>
      </c>
      <c r="B16" s="3">
        <v>34647</v>
      </c>
      <c r="C16" s="3">
        <v>27999</v>
      </c>
      <c r="D16" s="3">
        <v>6648</v>
      </c>
      <c r="E16" s="5">
        <f t="shared" si="1"/>
        <v>0.80812191531734345</v>
      </c>
      <c r="F16" s="5">
        <f t="shared" si="0"/>
        <v>0.19187808468265652</v>
      </c>
    </row>
    <row r="17" spans="1:6" x14ac:dyDescent="0.3">
      <c r="A17" s="2" t="s">
        <v>22</v>
      </c>
      <c r="B17" s="3">
        <v>23580</v>
      </c>
      <c r="C17" s="3">
        <v>17033</v>
      </c>
      <c r="D17" s="3">
        <v>6547</v>
      </c>
      <c r="E17" s="5">
        <f t="shared" si="1"/>
        <v>0.72234944868532658</v>
      </c>
      <c r="F17" s="5">
        <f t="shared" si="0"/>
        <v>0.27765055131467348</v>
      </c>
    </row>
    <row r="18" spans="1:6" x14ac:dyDescent="0.3">
      <c r="A18" s="2" t="s">
        <v>23</v>
      </c>
      <c r="B18" s="3">
        <v>16841</v>
      </c>
      <c r="C18" s="3">
        <v>13177</v>
      </c>
      <c r="D18" s="3">
        <v>3664</v>
      </c>
      <c r="E18" s="5">
        <f t="shared" si="1"/>
        <v>0.78243572234427883</v>
      </c>
      <c r="F18" s="5">
        <f t="shared" si="0"/>
        <v>0.21756427765572114</v>
      </c>
    </row>
    <row r="19" spans="1:6" ht="27.6" x14ac:dyDescent="0.3">
      <c r="A19" s="2" t="s">
        <v>24</v>
      </c>
      <c r="B19" s="3">
        <v>10463</v>
      </c>
      <c r="C19" s="3">
        <v>7821</v>
      </c>
      <c r="D19" s="3">
        <v>2642</v>
      </c>
      <c r="E19" s="5">
        <f t="shared" si="1"/>
        <v>0.74749115932332988</v>
      </c>
      <c r="F19" s="5">
        <f t="shared" si="0"/>
        <v>0.25250884067667018</v>
      </c>
    </row>
    <row r="20" spans="1:6" x14ac:dyDescent="0.3">
      <c r="A20" s="2" t="s">
        <v>25</v>
      </c>
      <c r="B20" s="3">
        <v>6880</v>
      </c>
      <c r="C20" s="3">
        <v>5298</v>
      </c>
      <c r="D20" s="3">
        <v>1582</v>
      </c>
      <c r="E20" s="5">
        <f t="shared" si="1"/>
        <v>0.77005813953488367</v>
      </c>
      <c r="F20" s="5">
        <f t="shared" si="0"/>
        <v>0.22994186046511628</v>
      </c>
    </row>
    <row r="21" spans="1:6" x14ac:dyDescent="0.3">
      <c r="A21" s="2" t="s">
        <v>26</v>
      </c>
      <c r="B21" s="3">
        <v>17096</v>
      </c>
      <c r="C21" s="3">
        <v>12168</v>
      </c>
      <c r="D21" s="3">
        <v>4928</v>
      </c>
      <c r="E21" s="5">
        <f t="shared" si="1"/>
        <v>0.71174543752924657</v>
      </c>
      <c r="F21" s="5">
        <f t="shared" si="0"/>
        <v>0.28825456247075337</v>
      </c>
    </row>
    <row r="22" spans="1:6" x14ac:dyDescent="0.3">
      <c r="A22" s="2" t="s">
        <v>27</v>
      </c>
      <c r="B22" s="3">
        <v>59219</v>
      </c>
      <c r="C22" s="3">
        <v>40451</v>
      </c>
      <c r="D22" s="3">
        <v>18768</v>
      </c>
      <c r="E22" s="5">
        <f t="shared" si="1"/>
        <v>0.68307468886674882</v>
      </c>
      <c r="F22" s="5">
        <f t="shared" si="0"/>
        <v>0.31692531113325118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workbookViewId="0">
      <selection activeCell="J3" sqref="J3"/>
    </sheetView>
  </sheetViews>
  <sheetFormatPr baseColWidth="10" defaultColWidth="8.88671875" defaultRowHeight="14.4" x14ac:dyDescent="0.3"/>
  <cols>
    <col min="1" max="1" width="50" customWidth="1"/>
    <col min="2" max="2" width="15" customWidth="1"/>
    <col min="3" max="3" width="20" customWidth="1"/>
    <col min="4" max="4" width="12" customWidth="1"/>
    <col min="5" max="5" width="18" customWidth="1"/>
    <col min="6" max="6" width="12" customWidth="1"/>
    <col min="7" max="7" width="16" customWidth="1"/>
    <col min="8" max="8" width="12" customWidth="1"/>
  </cols>
  <sheetData>
    <row r="1" spans="1:8" ht="30" customHeight="1" x14ac:dyDescent="0.3">
      <c r="A1" s="1" t="s">
        <v>0</v>
      </c>
      <c r="B1" s="1" t="s">
        <v>28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</row>
    <row r="2" spans="1:8" x14ac:dyDescent="0.3">
      <c r="A2" s="2" t="s">
        <v>7</v>
      </c>
      <c r="B2" s="3">
        <v>184924</v>
      </c>
      <c r="C2" s="3">
        <v>24822</v>
      </c>
      <c r="D2" s="5">
        <f>C2/B2</f>
        <v>0.13422811533386689</v>
      </c>
      <c r="E2" s="3">
        <v>109757</v>
      </c>
      <c r="F2" s="5">
        <f t="shared" ref="F2:F22" si="0">E2/B2</f>
        <v>0.59352490752957976</v>
      </c>
      <c r="G2" s="3">
        <v>50177</v>
      </c>
      <c r="H2" s="5">
        <f t="shared" ref="H2:H22" si="1">G2/B2</f>
        <v>0.27133849581449676</v>
      </c>
    </row>
    <row r="3" spans="1:8" x14ac:dyDescent="0.3">
      <c r="A3" s="2" t="s">
        <v>8</v>
      </c>
      <c r="B3" s="3">
        <v>12577</v>
      </c>
      <c r="C3" s="3">
        <v>1385</v>
      </c>
      <c r="D3" s="5">
        <f t="shared" ref="D2:D22" si="2">C3/B3</f>
        <v>0.11012165063210623</v>
      </c>
      <c r="E3" s="3">
        <v>4416</v>
      </c>
      <c r="F3" s="5">
        <f t="shared" si="0"/>
        <v>0.35111711854973365</v>
      </c>
      <c r="G3" s="3">
        <v>6765</v>
      </c>
      <c r="H3" s="5">
        <f t="shared" si="1"/>
        <v>0.53788661843046837</v>
      </c>
    </row>
    <row r="4" spans="1:8" x14ac:dyDescent="0.3">
      <c r="A4" s="2" t="s">
        <v>9</v>
      </c>
      <c r="B4" s="3">
        <v>27878</v>
      </c>
      <c r="C4" s="3">
        <v>3459</v>
      </c>
      <c r="D4" s="5">
        <f t="shared" si="2"/>
        <v>0.12407633259200804</v>
      </c>
      <c r="E4" s="3">
        <v>18613</v>
      </c>
      <c r="F4" s="5">
        <f t="shared" si="0"/>
        <v>0.66765908601764834</v>
      </c>
      <c r="G4" s="3">
        <v>5793</v>
      </c>
      <c r="H4" s="5">
        <f t="shared" si="1"/>
        <v>0.20779826386397876</v>
      </c>
    </row>
    <row r="5" spans="1:8" x14ac:dyDescent="0.3">
      <c r="A5" s="2" t="s">
        <v>10</v>
      </c>
      <c r="B5" s="3">
        <v>66014</v>
      </c>
      <c r="C5" s="3">
        <v>6705</v>
      </c>
      <c r="D5" s="5">
        <f t="shared" si="2"/>
        <v>0.10156936407428727</v>
      </c>
      <c r="E5" s="3">
        <v>43090</v>
      </c>
      <c r="F5" s="5">
        <f t="shared" si="0"/>
        <v>0.65274032780925262</v>
      </c>
      <c r="G5" s="3">
        <v>16107</v>
      </c>
      <c r="H5" s="5">
        <f t="shared" si="1"/>
        <v>0.24399369830641984</v>
      </c>
    </row>
    <row r="6" spans="1:8" ht="55.2" x14ac:dyDescent="0.3">
      <c r="A6" s="2" t="s">
        <v>11</v>
      </c>
      <c r="B6" s="3">
        <v>14298</v>
      </c>
      <c r="C6" s="3">
        <v>1142</v>
      </c>
      <c r="D6" s="5">
        <f t="shared" si="2"/>
        <v>7.9871310672821369E-2</v>
      </c>
      <c r="E6" s="3">
        <v>9801</v>
      </c>
      <c r="F6" s="5">
        <f t="shared" si="0"/>
        <v>0.68548048678136797</v>
      </c>
      <c r="G6" s="3">
        <v>3334</v>
      </c>
      <c r="H6" s="5">
        <f t="shared" si="1"/>
        <v>0.23317946565953279</v>
      </c>
    </row>
    <row r="7" spans="1:8" ht="41.4" x14ac:dyDescent="0.3">
      <c r="A7" s="2" t="s">
        <v>12</v>
      </c>
      <c r="B7" s="3">
        <v>3708</v>
      </c>
      <c r="C7" s="3">
        <v>305</v>
      </c>
      <c r="D7" s="5">
        <f t="shared" si="2"/>
        <v>8.2254584681769147E-2</v>
      </c>
      <c r="E7" s="3">
        <v>2621</v>
      </c>
      <c r="F7" s="5">
        <f t="shared" si="0"/>
        <v>0.70685005393743261</v>
      </c>
      <c r="G7" s="3">
        <v>778</v>
      </c>
      <c r="H7" s="5">
        <f t="shared" si="1"/>
        <v>0.20981661272923408</v>
      </c>
    </row>
    <row r="8" spans="1:8" x14ac:dyDescent="0.3">
      <c r="A8" s="2" t="s">
        <v>13</v>
      </c>
      <c r="B8" s="3">
        <v>20647</v>
      </c>
      <c r="C8" s="3">
        <v>3650</v>
      </c>
      <c r="D8" s="5">
        <f t="shared" si="2"/>
        <v>0.17678113043057103</v>
      </c>
      <c r="E8" s="3">
        <v>12137</v>
      </c>
      <c r="F8" s="5">
        <f t="shared" si="0"/>
        <v>0.5878335835714632</v>
      </c>
      <c r="G8" s="3">
        <v>4848</v>
      </c>
      <c r="H8" s="5">
        <f t="shared" si="1"/>
        <v>0.23480408776093378</v>
      </c>
    </row>
    <row r="9" spans="1:8" ht="27.6" x14ac:dyDescent="0.3">
      <c r="A9" s="2" t="s">
        <v>14</v>
      </c>
      <c r="B9" s="3">
        <v>17959</v>
      </c>
      <c r="C9" s="3">
        <v>2695</v>
      </c>
      <c r="D9" s="5">
        <f t="shared" si="2"/>
        <v>0.1500640347458099</v>
      </c>
      <c r="E9" s="3">
        <v>10896</v>
      </c>
      <c r="F9" s="5">
        <f t="shared" si="0"/>
        <v>0.60671529595189044</v>
      </c>
      <c r="G9" s="3">
        <v>4348</v>
      </c>
      <c r="H9" s="5">
        <f t="shared" si="1"/>
        <v>0.24210702154908403</v>
      </c>
    </row>
    <row r="10" spans="1:8" ht="27.6" x14ac:dyDescent="0.3">
      <c r="A10" s="2" t="s">
        <v>15</v>
      </c>
      <c r="B10" s="3">
        <v>7421</v>
      </c>
      <c r="C10" s="3">
        <v>2328</v>
      </c>
      <c r="D10" s="5">
        <f t="shared" si="2"/>
        <v>0.31370435251313838</v>
      </c>
      <c r="E10" s="3">
        <v>3442</v>
      </c>
      <c r="F10" s="5">
        <f t="shared" si="0"/>
        <v>0.46381889233256973</v>
      </c>
      <c r="G10" s="3">
        <v>1648</v>
      </c>
      <c r="H10" s="5">
        <f t="shared" si="1"/>
        <v>0.22207249696806361</v>
      </c>
    </row>
    <row r="11" spans="1:8" x14ac:dyDescent="0.3">
      <c r="A11" s="2" t="s">
        <v>16</v>
      </c>
      <c r="B11" s="3">
        <v>59382</v>
      </c>
      <c r="C11" s="3">
        <v>9544</v>
      </c>
      <c r="D11" s="5">
        <f t="shared" si="2"/>
        <v>0.1607221043413829</v>
      </c>
      <c r="E11" s="3">
        <v>28728</v>
      </c>
      <c r="F11" s="5">
        <f t="shared" si="0"/>
        <v>0.48378296453470748</v>
      </c>
      <c r="G11" s="3">
        <v>21031</v>
      </c>
      <c r="H11" s="5">
        <f t="shared" si="1"/>
        <v>0.35416456165167898</v>
      </c>
    </row>
    <row r="12" spans="1:8" ht="27.6" x14ac:dyDescent="0.3">
      <c r="A12" s="2" t="s">
        <v>17</v>
      </c>
      <c r="B12" s="3">
        <v>31240</v>
      </c>
      <c r="C12" s="3">
        <v>7456</v>
      </c>
      <c r="D12" s="5">
        <f t="shared" si="2"/>
        <v>0.23866837387964149</v>
      </c>
      <c r="E12" s="3">
        <v>13612</v>
      </c>
      <c r="F12" s="5">
        <f t="shared" si="0"/>
        <v>0.43572343149807941</v>
      </c>
      <c r="G12" s="3">
        <v>10136</v>
      </c>
      <c r="H12" s="5">
        <f t="shared" si="1"/>
        <v>0.32445582586427657</v>
      </c>
    </row>
    <row r="13" spans="1:8" x14ac:dyDescent="0.3">
      <c r="A13" s="2" t="s">
        <v>18</v>
      </c>
      <c r="B13" s="3">
        <v>62974</v>
      </c>
      <c r="C13" s="3">
        <v>9648</v>
      </c>
      <c r="D13" s="5">
        <f t="shared" si="2"/>
        <v>0.15320608505097341</v>
      </c>
      <c r="E13" s="3">
        <v>39197</v>
      </c>
      <c r="F13" s="5">
        <f t="shared" si="0"/>
        <v>0.62243147965827161</v>
      </c>
      <c r="G13" s="3">
        <v>14070</v>
      </c>
      <c r="H13" s="5">
        <f t="shared" si="1"/>
        <v>0.22342554069933623</v>
      </c>
    </row>
    <row r="14" spans="1:8" x14ac:dyDescent="0.3">
      <c r="A14" s="2" t="s">
        <v>19</v>
      </c>
      <c r="B14" s="3">
        <v>39314</v>
      </c>
      <c r="C14" s="3">
        <v>4596</v>
      </c>
      <c r="D14" s="5">
        <f t="shared" si="2"/>
        <v>0.11690491936714656</v>
      </c>
      <c r="E14" s="3">
        <v>27701</v>
      </c>
      <c r="F14" s="5">
        <f t="shared" si="0"/>
        <v>0.70460904512387446</v>
      </c>
      <c r="G14" s="3">
        <v>6998</v>
      </c>
      <c r="H14" s="5">
        <f t="shared" si="1"/>
        <v>0.17800274711298775</v>
      </c>
    </row>
    <row r="15" spans="1:8" x14ac:dyDescent="0.3">
      <c r="A15" s="2" t="s">
        <v>20</v>
      </c>
      <c r="B15" s="3">
        <v>13174</v>
      </c>
      <c r="C15" s="3">
        <v>2188</v>
      </c>
      <c r="D15" s="5">
        <f t="shared" si="2"/>
        <v>0.16608471231212996</v>
      </c>
      <c r="E15" s="3">
        <v>7750</v>
      </c>
      <c r="F15" s="5">
        <f t="shared" si="0"/>
        <v>0.58827994534689543</v>
      </c>
      <c r="G15" s="3">
        <v>3209</v>
      </c>
      <c r="H15" s="5">
        <f t="shared" si="1"/>
        <v>0.24358585091847579</v>
      </c>
    </row>
    <row r="16" spans="1:8" ht="27.6" x14ac:dyDescent="0.3">
      <c r="A16" s="2" t="s">
        <v>21</v>
      </c>
      <c r="B16" s="3">
        <v>34647</v>
      </c>
      <c r="C16" s="3">
        <v>4462</v>
      </c>
      <c r="D16" s="5">
        <f t="shared" si="2"/>
        <v>0.12878459895517649</v>
      </c>
      <c r="E16" s="3">
        <v>21977</v>
      </c>
      <c r="F16" s="5">
        <f t="shared" si="0"/>
        <v>0.63431177302508157</v>
      </c>
      <c r="G16" s="3">
        <v>8185</v>
      </c>
      <c r="H16" s="5">
        <f t="shared" si="1"/>
        <v>0.23623978988079777</v>
      </c>
    </row>
    <row r="17" spans="1:8" x14ac:dyDescent="0.3">
      <c r="A17" s="2" t="s">
        <v>22</v>
      </c>
      <c r="B17" s="3">
        <v>23580</v>
      </c>
      <c r="C17" s="3">
        <v>3918</v>
      </c>
      <c r="D17" s="5">
        <f t="shared" si="2"/>
        <v>0.16615776081424935</v>
      </c>
      <c r="E17" s="3">
        <v>12521</v>
      </c>
      <c r="F17" s="5">
        <f t="shared" si="0"/>
        <v>0.53100084817642068</v>
      </c>
      <c r="G17" s="3">
        <v>7115</v>
      </c>
      <c r="H17" s="5">
        <f t="shared" si="1"/>
        <v>0.3017387616624258</v>
      </c>
    </row>
    <row r="18" spans="1:8" x14ac:dyDescent="0.3">
      <c r="A18" s="2" t="s">
        <v>23</v>
      </c>
      <c r="B18" s="3">
        <v>16841</v>
      </c>
      <c r="C18" s="3">
        <v>3449</v>
      </c>
      <c r="D18" s="5">
        <f t="shared" si="2"/>
        <v>0.20479781485659995</v>
      </c>
      <c r="E18" s="3">
        <v>8427</v>
      </c>
      <c r="F18" s="5">
        <f t="shared" si="0"/>
        <v>0.50038596282881065</v>
      </c>
      <c r="G18" s="3">
        <v>4940</v>
      </c>
      <c r="H18" s="5">
        <f t="shared" si="1"/>
        <v>0.29333174989608696</v>
      </c>
    </row>
    <row r="19" spans="1:8" ht="27.6" x14ac:dyDescent="0.3">
      <c r="A19" s="2" t="s">
        <v>24</v>
      </c>
      <c r="B19" s="3">
        <v>10463</v>
      </c>
      <c r="C19" s="3">
        <v>1515</v>
      </c>
      <c r="D19" s="5">
        <f t="shared" si="2"/>
        <v>0.14479594762496417</v>
      </c>
      <c r="E19" s="3">
        <v>7110</v>
      </c>
      <c r="F19" s="5">
        <f t="shared" si="0"/>
        <v>0.67953741756666353</v>
      </c>
      <c r="G19" s="3">
        <v>1825</v>
      </c>
      <c r="H19" s="5">
        <f t="shared" si="1"/>
        <v>0.17442416133040237</v>
      </c>
    </row>
    <row r="20" spans="1:8" x14ac:dyDescent="0.3">
      <c r="A20" s="2" t="s">
        <v>25</v>
      </c>
      <c r="B20" s="3">
        <v>6880</v>
      </c>
      <c r="C20" s="3">
        <v>1020</v>
      </c>
      <c r="D20" s="5">
        <f t="shared" si="2"/>
        <v>0.14825581395348839</v>
      </c>
      <c r="E20" s="3">
        <v>3549</v>
      </c>
      <c r="F20" s="5">
        <f t="shared" si="0"/>
        <v>0.51584302325581399</v>
      </c>
      <c r="G20" s="3">
        <v>2309</v>
      </c>
      <c r="H20" s="5">
        <f t="shared" si="1"/>
        <v>0.33561046511627907</v>
      </c>
    </row>
    <row r="21" spans="1:8" x14ac:dyDescent="0.3">
      <c r="A21" s="2" t="s">
        <v>26</v>
      </c>
      <c r="B21" s="3">
        <v>17096</v>
      </c>
      <c r="C21" s="3">
        <v>1774</v>
      </c>
      <c r="D21" s="5">
        <f t="shared" si="2"/>
        <v>0.10376696303228826</v>
      </c>
      <c r="E21" s="3">
        <v>10033</v>
      </c>
      <c r="F21" s="5">
        <f t="shared" si="0"/>
        <v>0.58686242395882082</v>
      </c>
      <c r="G21" s="3">
        <v>5273</v>
      </c>
      <c r="H21" s="5">
        <f t="shared" si="1"/>
        <v>0.30843472157229762</v>
      </c>
    </row>
    <row r="22" spans="1:8" x14ac:dyDescent="0.3">
      <c r="A22" s="2" t="s">
        <v>27</v>
      </c>
      <c r="B22" s="3">
        <v>59219</v>
      </c>
      <c r="C22" s="3">
        <v>13240</v>
      </c>
      <c r="D22" s="5">
        <f t="shared" si="2"/>
        <v>0.22357689255137708</v>
      </c>
      <c r="E22" s="3">
        <v>30963</v>
      </c>
      <c r="F22" s="5">
        <f t="shared" si="0"/>
        <v>0.52285584018642661</v>
      </c>
      <c r="G22" s="3">
        <v>14932</v>
      </c>
      <c r="H22" s="5">
        <f t="shared" si="1"/>
        <v>0.25214880359344127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"/>
  <sheetViews>
    <sheetView workbookViewId="0">
      <selection activeCell="E2" sqref="E2"/>
    </sheetView>
  </sheetViews>
  <sheetFormatPr baseColWidth="10" defaultColWidth="8.88671875" defaultRowHeight="14.4" x14ac:dyDescent="0.3"/>
  <cols>
    <col min="1" max="1" width="50" customWidth="1"/>
    <col min="2" max="5" width="24" customWidth="1"/>
  </cols>
  <sheetData>
    <row r="1" spans="1:5" ht="30" customHeight="1" x14ac:dyDescent="0.3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</row>
    <row r="2" spans="1:5" x14ac:dyDescent="0.3">
      <c r="A2" s="2" t="s">
        <v>7</v>
      </c>
      <c r="B2" s="4">
        <v>58256.121328531422</v>
      </c>
      <c r="C2" s="4">
        <v>38995.364896999738</v>
      </c>
      <c r="D2" s="4">
        <v>69638.500906789966</v>
      </c>
      <c r="E2" s="4">
        <v>49912.860391295893</v>
      </c>
    </row>
    <row r="3" spans="1:5" x14ac:dyDescent="0.3">
      <c r="A3" s="2" t="s">
        <v>8</v>
      </c>
      <c r="B3" s="4">
        <v>114584.5078796562</v>
      </c>
      <c r="C3" s="4">
        <v>60024.80865036232</v>
      </c>
      <c r="D3" s="4">
        <v>78295.286326681453</v>
      </c>
      <c r="E3" s="4">
        <v>75908.176830722747</v>
      </c>
    </row>
    <row r="4" spans="1:5" x14ac:dyDescent="0.3">
      <c r="A4" s="2" t="s">
        <v>9</v>
      </c>
      <c r="B4" s="4">
        <v>58933.520737327191</v>
      </c>
      <c r="C4" s="4">
        <v>32534.454682211359</v>
      </c>
      <c r="D4" s="4">
        <v>77586.766787502158</v>
      </c>
      <c r="E4" s="4">
        <v>45184.056675514737</v>
      </c>
    </row>
    <row r="5" spans="1:5" x14ac:dyDescent="0.3">
      <c r="A5" s="2" t="s">
        <v>10</v>
      </c>
      <c r="B5" s="4">
        <v>49994.283849200518</v>
      </c>
      <c r="C5" s="4">
        <v>28625.878602924109</v>
      </c>
      <c r="D5" s="4">
        <v>59164.37275718632</v>
      </c>
      <c r="E5" s="4">
        <v>38283.707910443241</v>
      </c>
    </row>
    <row r="6" spans="1:5" ht="55.2" x14ac:dyDescent="0.3">
      <c r="A6" s="2" t="s">
        <v>11</v>
      </c>
      <c r="B6" s="4">
        <v>59824.983662940671</v>
      </c>
      <c r="C6" s="4">
        <v>27406.555555555551</v>
      </c>
      <c r="D6" s="4">
        <v>63385.710857828431</v>
      </c>
      <c r="E6" s="4">
        <v>38433.070988949497</v>
      </c>
    </row>
    <row r="7" spans="1:5" ht="41.4" x14ac:dyDescent="0.3">
      <c r="A7" s="2" t="s">
        <v>12</v>
      </c>
      <c r="B7" s="4">
        <v>81996.336569579289</v>
      </c>
      <c r="C7" s="4">
        <v>30320.499046165591</v>
      </c>
      <c r="D7" s="4">
        <v>64857.182519280213</v>
      </c>
      <c r="E7" s="4">
        <v>41873.188781014032</v>
      </c>
    </row>
    <row r="8" spans="1:5" x14ac:dyDescent="0.3">
      <c r="A8" s="2" t="s">
        <v>13</v>
      </c>
      <c r="B8" s="4">
        <v>121858.6127799017</v>
      </c>
      <c r="C8" s="4">
        <v>48587.34571970009</v>
      </c>
      <c r="D8" s="4">
        <v>111106.88448844881</v>
      </c>
      <c r="E8" s="4">
        <v>76262.751247154549</v>
      </c>
    </row>
    <row r="9" spans="1:5" ht="27.6" x14ac:dyDescent="0.3">
      <c r="A9" s="2" t="s">
        <v>14</v>
      </c>
      <c r="B9" s="4">
        <v>54490.335911602211</v>
      </c>
      <c r="C9" s="4">
        <v>34344.688050660792</v>
      </c>
      <c r="D9" s="4">
        <v>70162.488500459978</v>
      </c>
      <c r="E9" s="4">
        <v>46062.00139205969</v>
      </c>
    </row>
    <row r="10" spans="1:5" ht="27.6" x14ac:dyDescent="0.3">
      <c r="A10" s="2" t="s">
        <v>15</v>
      </c>
      <c r="B10" s="4">
        <v>154190.2621192621</v>
      </c>
      <c r="C10" s="4">
        <v>62280.843695525858</v>
      </c>
      <c r="D10" s="4">
        <v>106340.96359223301</v>
      </c>
      <c r="E10" s="4">
        <v>100934.9242689665</v>
      </c>
    </row>
    <row r="11" spans="1:5" x14ac:dyDescent="0.3">
      <c r="A11" s="2" t="s">
        <v>16</v>
      </c>
      <c r="B11" s="4">
        <v>81042.841317676401</v>
      </c>
      <c r="C11" s="4">
        <v>42697.25</v>
      </c>
      <c r="D11" s="4">
        <v>91051.250011887212</v>
      </c>
      <c r="E11" s="4">
        <v>66036.521454312751</v>
      </c>
    </row>
    <row r="12" spans="1:5" ht="27.6" x14ac:dyDescent="0.3">
      <c r="A12" s="2" t="s">
        <v>17</v>
      </c>
      <c r="B12" s="4">
        <v>76360.745595301662</v>
      </c>
      <c r="C12" s="4">
        <v>42392.343961210703</v>
      </c>
      <c r="D12" s="4">
        <v>102431.9328137332</v>
      </c>
      <c r="E12" s="4">
        <v>70018.865941101147</v>
      </c>
    </row>
    <row r="13" spans="1:5" x14ac:dyDescent="0.3">
      <c r="A13" s="2" t="s">
        <v>18</v>
      </c>
      <c r="B13" s="4">
        <v>60291.353456268669</v>
      </c>
      <c r="C13" s="4">
        <v>35967.423042579787</v>
      </c>
      <c r="D13" s="4">
        <v>79032.197867803843</v>
      </c>
      <c r="E13" s="4">
        <v>49338.556753580837</v>
      </c>
    </row>
    <row r="14" spans="1:5" x14ac:dyDescent="0.3">
      <c r="A14" s="2" t="s">
        <v>19</v>
      </c>
      <c r="B14" s="4">
        <v>80409.660021668475</v>
      </c>
      <c r="C14" s="4">
        <v>47340.585213530198</v>
      </c>
      <c r="D14" s="4">
        <v>82590.511003143751</v>
      </c>
      <c r="E14" s="4">
        <v>57497.088340031543</v>
      </c>
    </row>
    <row r="15" spans="1:5" x14ac:dyDescent="0.3">
      <c r="A15" s="2" t="s">
        <v>20</v>
      </c>
      <c r="B15" s="4">
        <v>66543.927313769746</v>
      </c>
      <c r="C15" s="4">
        <v>51463.606064516127</v>
      </c>
      <c r="D15" s="4">
        <v>99677.63010283577</v>
      </c>
      <c r="E15" s="4">
        <v>65743.378169121002</v>
      </c>
    </row>
    <row r="16" spans="1:5" ht="27.6" x14ac:dyDescent="0.3">
      <c r="A16" s="2" t="s">
        <v>21</v>
      </c>
      <c r="B16" s="4">
        <v>55925.983723522862</v>
      </c>
      <c r="C16" s="4">
        <v>34136.709742002997</v>
      </c>
      <c r="D16" s="4">
        <v>78400.214416615767</v>
      </c>
      <c r="E16" s="4">
        <v>47414.098161456983</v>
      </c>
    </row>
    <row r="17" spans="1:5" x14ac:dyDescent="0.3">
      <c r="A17" s="2" t="s">
        <v>22</v>
      </c>
      <c r="B17" s="4">
        <v>78682.939401622716</v>
      </c>
      <c r="C17" s="4">
        <v>41016.039373851927</v>
      </c>
      <c r="D17" s="4">
        <v>99392.272803935353</v>
      </c>
      <c r="E17" s="4">
        <v>64930.592536047501</v>
      </c>
    </row>
    <row r="18" spans="1:5" x14ac:dyDescent="0.3">
      <c r="A18" s="2" t="s">
        <v>23</v>
      </c>
      <c r="B18" s="4">
        <v>55376.390903857216</v>
      </c>
      <c r="C18" s="4">
        <v>34815.02622522843</v>
      </c>
      <c r="D18" s="4">
        <v>76446.975910931171</v>
      </c>
      <c r="E18" s="4">
        <v>51268.443976010924</v>
      </c>
    </row>
    <row r="19" spans="1:5" ht="27.6" x14ac:dyDescent="0.3">
      <c r="A19" s="2" t="s">
        <v>24</v>
      </c>
      <c r="B19" s="4">
        <v>51782.628272251313</v>
      </c>
      <c r="C19" s="4">
        <v>34573.440365682138</v>
      </c>
      <c r="D19" s="4">
        <v>77064.286027397262</v>
      </c>
      <c r="E19" s="4">
        <v>44498.073401510082</v>
      </c>
    </row>
    <row r="20" spans="1:5" x14ac:dyDescent="0.3">
      <c r="A20" s="2" t="s">
        <v>25</v>
      </c>
      <c r="B20" s="4">
        <v>53935.54109589041</v>
      </c>
      <c r="C20" s="4">
        <v>32285.222316145391</v>
      </c>
      <c r="D20" s="4">
        <v>81563.8328280641</v>
      </c>
      <c r="E20" s="4">
        <v>52039.719040697673</v>
      </c>
    </row>
    <row r="21" spans="1:5" x14ac:dyDescent="0.3">
      <c r="A21" s="2" t="s">
        <v>26</v>
      </c>
      <c r="B21" s="4">
        <v>48610.917877094973</v>
      </c>
      <c r="C21" s="4">
        <v>31952.443636001201</v>
      </c>
      <c r="D21" s="4">
        <v>60515.475251280113</v>
      </c>
      <c r="E21" s="4">
        <v>42506.463968179691</v>
      </c>
    </row>
    <row r="22" spans="1:5" x14ac:dyDescent="0.3">
      <c r="A22" s="2" t="s">
        <v>27</v>
      </c>
      <c r="B22" s="4">
        <v>86759.307039927953</v>
      </c>
      <c r="C22" s="4">
        <v>44423.300778348348</v>
      </c>
      <c r="D22" s="4">
        <v>79599.441066166619</v>
      </c>
      <c r="E22" s="4">
        <v>62818.327276718621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2"/>
  <sheetViews>
    <sheetView workbookViewId="0">
      <selection activeCell="I1" sqref="I1"/>
    </sheetView>
  </sheetViews>
  <sheetFormatPr baseColWidth="10" defaultColWidth="8.88671875" defaultRowHeight="14.4" x14ac:dyDescent="0.3"/>
  <cols>
    <col min="1" max="1" width="50" customWidth="1"/>
    <col min="2" max="2" width="14" customWidth="1"/>
    <col min="3" max="5" width="18" customWidth="1"/>
    <col min="6" max="6" width="20" customWidth="1"/>
    <col min="7" max="8" width="15" customWidth="1"/>
  </cols>
  <sheetData>
    <row r="1" spans="1:8" ht="30" customHeight="1" x14ac:dyDescent="0.3">
      <c r="A1" s="1" t="s">
        <v>0</v>
      </c>
      <c r="B1" s="1" t="s">
        <v>1</v>
      </c>
      <c r="C1" s="1" t="s">
        <v>43</v>
      </c>
      <c r="D1" s="1" t="s">
        <v>5</v>
      </c>
      <c r="E1" s="1" t="s">
        <v>44</v>
      </c>
      <c r="F1" s="1" t="s">
        <v>45</v>
      </c>
      <c r="G1" s="1" t="s">
        <v>46</v>
      </c>
      <c r="H1" s="1" t="s">
        <v>47</v>
      </c>
    </row>
    <row r="2" spans="1:8" x14ac:dyDescent="0.3">
      <c r="A2" s="2" t="s">
        <v>7</v>
      </c>
      <c r="B2" s="3">
        <v>184924</v>
      </c>
      <c r="C2" s="4">
        <v>49912.860391295893</v>
      </c>
      <c r="D2" s="3">
        <v>292756.70455157763</v>
      </c>
      <c r="E2" s="4">
        <v>25524950</v>
      </c>
      <c r="F2" s="4">
        <v>16800000</v>
      </c>
      <c r="G2" s="6">
        <f>(D2-B2)/B2</f>
        <v>0.58311903566642309</v>
      </c>
      <c r="H2" s="6">
        <f t="shared" ref="H2:H22" si="0">(E2-C2)/C2</f>
        <v>510.39024692023452</v>
      </c>
    </row>
    <row r="3" spans="1:8" x14ac:dyDescent="0.3">
      <c r="A3" s="2" t="s">
        <v>8</v>
      </c>
      <c r="B3" s="3">
        <v>12577</v>
      </c>
      <c r="C3" s="4">
        <v>75908.176830722747</v>
      </c>
      <c r="D3" s="3">
        <v>53982.389692664146</v>
      </c>
      <c r="E3" s="4">
        <v>29436578</v>
      </c>
      <c r="F3" s="4">
        <v>18000000</v>
      </c>
      <c r="G3" s="6">
        <f t="shared" ref="G2:G22" si="1">(D3-B3)/B3</f>
        <v>3.2921515220373814</v>
      </c>
      <c r="H3" s="6">
        <f t="shared" si="0"/>
        <v>386.79192478360204</v>
      </c>
    </row>
    <row r="4" spans="1:8" x14ac:dyDescent="0.3">
      <c r="A4" s="2" t="s">
        <v>9</v>
      </c>
      <c r="B4" s="3">
        <v>27878</v>
      </c>
      <c r="C4" s="4">
        <v>45184.056675514737</v>
      </c>
      <c r="D4" s="3">
        <v>33381.501019895077</v>
      </c>
      <c r="E4" s="4">
        <v>24009232</v>
      </c>
      <c r="F4" s="4">
        <v>16800000</v>
      </c>
      <c r="G4" s="6">
        <f t="shared" si="1"/>
        <v>0.19741376784184936</v>
      </c>
      <c r="H4" s="6">
        <f t="shared" si="0"/>
        <v>530.36512669546585</v>
      </c>
    </row>
    <row r="5" spans="1:8" x14ac:dyDescent="0.3">
      <c r="A5" s="2" t="s">
        <v>10</v>
      </c>
      <c r="B5" s="3">
        <v>66014</v>
      </c>
      <c r="C5" s="4">
        <v>38283.707910443241</v>
      </c>
      <c r="D5" s="3">
        <v>156115.59936070439</v>
      </c>
      <c r="E5" s="4">
        <v>20875286</v>
      </c>
      <c r="F5" s="4">
        <v>15600000</v>
      </c>
      <c r="G5" s="6">
        <f t="shared" si="1"/>
        <v>1.3648862265686732</v>
      </c>
      <c r="H5" s="6">
        <f t="shared" si="0"/>
        <v>544.2785829636299</v>
      </c>
    </row>
    <row r="6" spans="1:8" ht="55.2" x14ac:dyDescent="0.3">
      <c r="A6" s="2" t="s">
        <v>11</v>
      </c>
      <c r="B6" s="3">
        <v>14298</v>
      </c>
      <c r="C6" s="4">
        <v>38433.070988949497</v>
      </c>
      <c r="D6" s="3">
        <v>40735.455275535583</v>
      </c>
      <c r="E6" s="4">
        <v>18153898</v>
      </c>
      <c r="F6" s="4">
        <v>15600000</v>
      </c>
      <c r="G6" s="6">
        <f t="shared" si="1"/>
        <v>1.8490317020237503</v>
      </c>
      <c r="H6" s="6">
        <f t="shared" si="0"/>
        <v>471.35096058859608</v>
      </c>
    </row>
    <row r="7" spans="1:8" ht="41.4" x14ac:dyDescent="0.3">
      <c r="A7" s="2" t="s">
        <v>12</v>
      </c>
      <c r="B7" s="3">
        <v>3708</v>
      </c>
      <c r="C7" s="4">
        <v>41873.188781014032</v>
      </c>
      <c r="D7" s="3">
        <v>7992.1848473548889</v>
      </c>
      <c r="E7" s="4">
        <v>22457712</v>
      </c>
      <c r="F7" s="4">
        <v>15600000</v>
      </c>
      <c r="G7" s="6">
        <f t="shared" si="1"/>
        <v>1.1553896567839506</v>
      </c>
      <c r="H7" s="6">
        <f t="shared" si="0"/>
        <v>535.32676788596245</v>
      </c>
    </row>
    <row r="8" spans="1:8" x14ac:dyDescent="0.3">
      <c r="A8" s="2" t="s">
        <v>13</v>
      </c>
      <c r="B8" s="3">
        <v>20647</v>
      </c>
      <c r="C8" s="4">
        <v>76262.751247154549</v>
      </c>
      <c r="D8" s="3">
        <v>36072.072888374329</v>
      </c>
      <c r="E8" s="4">
        <v>41549812</v>
      </c>
      <c r="F8" s="4">
        <v>18000000</v>
      </c>
      <c r="G8" s="6">
        <f t="shared" si="1"/>
        <v>0.74708543073445677</v>
      </c>
      <c r="H8" s="6">
        <f t="shared" si="0"/>
        <v>543.82445650753095</v>
      </c>
    </row>
    <row r="9" spans="1:8" ht="27.6" x14ac:dyDescent="0.3">
      <c r="A9" s="2" t="s">
        <v>14</v>
      </c>
      <c r="B9" s="3">
        <v>17959</v>
      </c>
      <c r="C9" s="4">
        <v>46062.00139205969</v>
      </c>
      <c r="D9" s="3">
        <v>14227.397269248961</v>
      </c>
      <c r="E9" s="4">
        <v>22549986</v>
      </c>
      <c r="F9" s="4">
        <v>18000000</v>
      </c>
      <c r="G9" s="6">
        <f t="shared" si="1"/>
        <v>-0.20778454984971542</v>
      </c>
      <c r="H9" s="6">
        <f t="shared" si="0"/>
        <v>488.55723413023986</v>
      </c>
    </row>
    <row r="10" spans="1:8" ht="27.6" x14ac:dyDescent="0.3">
      <c r="A10" s="2" t="s">
        <v>15</v>
      </c>
      <c r="B10" s="3">
        <v>7421</v>
      </c>
      <c r="C10" s="4">
        <v>100934.9242689665</v>
      </c>
      <c r="D10" s="3">
        <v>7219.251886844635</v>
      </c>
      <c r="E10" s="4">
        <v>30195434</v>
      </c>
      <c r="F10" s="4">
        <v>18000000</v>
      </c>
      <c r="G10" s="6">
        <f t="shared" si="1"/>
        <v>-2.718610876638795E-2</v>
      </c>
      <c r="H10" s="6">
        <f t="shared" si="0"/>
        <v>298.15744444942243</v>
      </c>
    </row>
    <row r="11" spans="1:8" x14ac:dyDescent="0.3">
      <c r="A11" s="2" t="s">
        <v>16</v>
      </c>
      <c r="B11" s="3">
        <v>59382</v>
      </c>
      <c r="C11" s="4">
        <v>66036.521454312751</v>
      </c>
      <c r="D11" s="3">
        <v>81296.940004348755</v>
      </c>
      <c r="E11" s="4">
        <v>28205038</v>
      </c>
      <c r="F11" s="4">
        <v>18000000</v>
      </c>
      <c r="G11" s="6">
        <f t="shared" si="1"/>
        <v>0.3690502173107803</v>
      </c>
      <c r="H11" s="6">
        <f t="shared" si="0"/>
        <v>426.11271549204184</v>
      </c>
    </row>
    <row r="12" spans="1:8" ht="27.6" x14ac:dyDescent="0.3">
      <c r="A12" s="2" t="s">
        <v>17</v>
      </c>
      <c r="B12" s="3">
        <v>31240</v>
      </c>
      <c r="C12" s="4">
        <v>70018.865941101147</v>
      </c>
      <c r="D12" s="3">
        <v>50389.893980741501</v>
      </c>
      <c r="E12" s="4">
        <v>41492988</v>
      </c>
      <c r="F12" s="4">
        <v>22584000</v>
      </c>
      <c r="G12" s="6">
        <f t="shared" si="1"/>
        <v>0.61299276506854994</v>
      </c>
      <c r="H12" s="6">
        <f t="shared" si="0"/>
        <v>591.59725850034908</v>
      </c>
    </row>
    <row r="13" spans="1:8" x14ac:dyDescent="0.3">
      <c r="A13" s="2" t="s">
        <v>18</v>
      </c>
      <c r="B13" s="3">
        <v>62974</v>
      </c>
      <c r="C13" s="4">
        <v>49338.556753580837</v>
      </c>
      <c r="D13" s="3">
        <v>95304.083910703659</v>
      </c>
      <c r="E13" s="4">
        <v>25629082</v>
      </c>
      <c r="F13" s="4">
        <v>17544000</v>
      </c>
      <c r="G13" s="6">
        <f t="shared" si="1"/>
        <v>0.51338780942458251</v>
      </c>
      <c r="H13" s="6">
        <f t="shared" si="0"/>
        <v>518.45341911810021</v>
      </c>
    </row>
    <row r="14" spans="1:8" x14ac:dyDescent="0.3">
      <c r="A14" s="2" t="s">
        <v>19</v>
      </c>
      <c r="B14" s="3">
        <v>39314</v>
      </c>
      <c r="C14" s="4">
        <v>57497.088340031543</v>
      </c>
      <c r="D14" s="3">
        <v>65302.21913433075</v>
      </c>
      <c r="E14" s="4">
        <v>32789306</v>
      </c>
      <c r="F14" s="4">
        <v>18000000</v>
      </c>
      <c r="G14" s="6">
        <f t="shared" si="1"/>
        <v>0.66104235474209572</v>
      </c>
      <c r="H14" s="6">
        <f t="shared" si="0"/>
        <v>569.27767747277221</v>
      </c>
    </row>
    <row r="15" spans="1:8" x14ac:dyDescent="0.3">
      <c r="A15" s="2" t="s">
        <v>20</v>
      </c>
      <c r="B15" s="3">
        <v>13174</v>
      </c>
      <c r="C15" s="4">
        <v>65743.378169121002</v>
      </c>
      <c r="D15" s="3">
        <v>16507.17465925217</v>
      </c>
      <c r="E15" s="4">
        <v>25457616</v>
      </c>
      <c r="F15" s="4">
        <v>20400000</v>
      </c>
      <c r="G15" s="6">
        <f t="shared" si="1"/>
        <v>0.25301158791955142</v>
      </c>
      <c r="H15" s="6">
        <f t="shared" si="0"/>
        <v>386.2270745581672</v>
      </c>
    </row>
    <row r="16" spans="1:8" ht="27.6" x14ac:dyDescent="0.3">
      <c r="A16" s="2" t="s">
        <v>21</v>
      </c>
      <c r="B16" s="3">
        <v>34647</v>
      </c>
      <c r="C16" s="4">
        <v>47414.098161456983</v>
      </c>
      <c r="D16" s="3">
        <v>76325.984061479568</v>
      </c>
      <c r="E16" s="4">
        <v>25333972</v>
      </c>
      <c r="F16" s="4">
        <v>17520000</v>
      </c>
      <c r="G16" s="6">
        <f t="shared" si="1"/>
        <v>1.202960835324258</v>
      </c>
      <c r="H16" s="6">
        <f t="shared" si="0"/>
        <v>533.31306261971758</v>
      </c>
    </row>
    <row r="17" spans="1:8" x14ac:dyDescent="0.3">
      <c r="A17" s="2" t="s">
        <v>22</v>
      </c>
      <c r="B17" s="3">
        <v>23580</v>
      </c>
      <c r="C17" s="4">
        <v>64930.592536047501</v>
      </c>
      <c r="D17" s="3">
        <v>25539.73281955719</v>
      </c>
      <c r="E17" s="4">
        <v>30489758</v>
      </c>
      <c r="F17" s="4">
        <v>19200000</v>
      </c>
      <c r="G17" s="6">
        <f t="shared" si="1"/>
        <v>8.3109958420576335E-2</v>
      </c>
      <c r="H17" s="6">
        <f t="shared" si="0"/>
        <v>468.57461512572843</v>
      </c>
    </row>
    <row r="18" spans="1:8" x14ac:dyDescent="0.3">
      <c r="A18" s="2" t="s">
        <v>23</v>
      </c>
      <c r="B18" s="3">
        <v>16841</v>
      </c>
      <c r="C18" s="4">
        <v>51268.443976010924</v>
      </c>
      <c r="D18" s="3">
        <v>17297.38198184967</v>
      </c>
      <c r="E18" s="4">
        <v>30533062</v>
      </c>
      <c r="F18" s="4">
        <v>21600000</v>
      </c>
      <c r="G18" s="6">
        <f t="shared" si="1"/>
        <v>2.709945857429312E-2</v>
      </c>
      <c r="H18" s="6">
        <f t="shared" si="0"/>
        <v>594.55273443225155</v>
      </c>
    </row>
    <row r="19" spans="1:8" ht="27.6" x14ac:dyDescent="0.3">
      <c r="A19" s="2" t="s">
        <v>24</v>
      </c>
      <c r="B19" s="3">
        <v>10463</v>
      </c>
      <c r="C19" s="4">
        <v>44498.073401510082</v>
      </c>
      <c r="D19" s="3">
        <v>19541.168630599979</v>
      </c>
      <c r="E19" s="4">
        <v>25542742</v>
      </c>
      <c r="F19" s="4">
        <v>19800000</v>
      </c>
      <c r="G19" s="6">
        <f t="shared" si="1"/>
        <v>0.8676449040045856</v>
      </c>
      <c r="H19" s="6">
        <f t="shared" si="0"/>
        <v>573.01905402792522</v>
      </c>
    </row>
    <row r="20" spans="1:8" x14ac:dyDescent="0.3">
      <c r="A20" s="2" t="s">
        <v>25</v>
      </c>
      <c r="B20" s="3">
        <v>6880</v>
      </c>
      <c r="C20" s="4">
        <v>52039.719040697673</v>
      </c>
      <c r="D20" s="3">
        <v>8611.7141191959381</v>
      </c>
      <c r="E20" s="4">
        <v>23311912</v>
      </c>
      <c r="F20" s="4">
        <v>18600000</v>
      </c>
      <c r="G20" s="6">
        <f t="shared" si="1"/>
        <v>0.25170263360406075</v>
      </c>
      <c r="H20" s="6">
        <f t="shared" si="0"/>
        <v>446.96383281333459</v>
      </c>
    </row>
    <row r="21" spans="1:8" x14ac:dyDescent="0.3">
      <c r="A21" s="2" t="s">
        <v>26</v>
      </c>
      <c r="B21" s="3">
        <v>17096</v>
      </c>
      <c r="C21" s="4">
        <v>42506.463968179691</v>
      </c>
      <c r="D21" s="3">
        <v>39759.545756340027</v>
      </c>
      <c r="E21" s="4">
        <v>23251042</v>
      </c>
      <c r="F21" s="4">
        <v>15600000</v>
      </c>
      <c r="G21" s="6">
        <f t="shared" si="1"/>
        <v>1.3256636497625192</v>
      </c>
      <c r="H21" s="6">
        <f t="shared" si="0"/>
        <v>546.00014608144568</v>
      </c>
    </row>
    <row r="22" spans="1:8" x14ac:dyDescent="0.3">
      <c r="A22" s="2" t="s">
        <v>27</v>
      </c>
      <c r="B22" s="3">
        <v>59219</v>
      </c>
      <c r="C22" s="4">
        <v>62818.327276718621</v>
      </c>
      <c r="D22" s="3">
        <v>29384.831278324131</v>
      </c>
      <c r="E22" s="4">
        <v>28681332</v>
      </c>
      <c r="F22" s="4">
        <v>17760000</v>
      </c>
      <c r="G22" s="6">
        <f t="shared" si="1"/>
        <v>-0.50379386213336719</v>
      </c>
      <c r="H22" s="6">
        <f t="shared" si="0"/>
        <v>455.5758631817265</v>
      </c>
    </row>
  </sheetData>
  <conditionalFormatting sqref="G2:H22">
    <cfRule type="cellIs" dxfId="1" priority="1" operator="greaterThan">
      <formula>0</formula>
    </cfRule>
    <cfRule type="cellIs" dxfId="0" priority="2" operator="lessThan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tabSelected="1" workbookViewId="0">
      <selection activeCell="H2" sqref="H2"/>
    </sheetView>
  </sheetViews>
  <sheetFormatPr baseColWidth="10" defaultColWidth="8.88671875" defaultRowHeight="14.4" x14ac:dyDescent="0.3"/>
  <cols>
    <col min="1" max="1" width="50" customWidth="1"/>
    <col min="2" max="3" width="15" customWidth="1"/>
    <col min="4" max="5" width="18" customWidth="1"/>
    <col min="6" max="6" width="26" customWidth="1"/>
    <col min="7" max="7" width="28" customWidth="1"/>
  </cols>
  <sheetData>
    <row r="1" spans="1:7" ht="30" customHeight="1" x14ac:dyDescent="0.3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</row>
    <row r="2" spans="1:7" x14ac:dyDescent="0.3">
      <c r="A2" s="2" t="s">
        <v>7</v>
      </c>
      <c r="B2" s="3">
        <v>1287</v>
      </c>
      <c r="C2" s="3">
        <v>184924</v>
      </c>
      <c r="D2" s="3">
        <v>41513051405</v>
      </c>
      <c r="E2" s="7">
        <f t="shared" ref="E2:E22" si="0">D2/1000000</f>
        <v>41513.051404999998</v>
      </c>
      <c r="F2" s="3">
        <f>D2/C2</f>
        <v>224487.094184638</v>
      </c>
      <c r="G2" s="8">
        <f>D2/B2/1000000</f>
        <v>32.255673197358199</v>
      </c>
    </row>
    <row r="3" spans="1:7" x14ac:dyDescent="0.3">
      <c r="A3" s="2" t="s">
        <v>8</v>
      </c>
      <c r="B3" s="3">
        <v>53</v>
      </c>
      <c r="C3" s="3">
        <v>12577</v>
      </c>
      <c r="D3" s="3">
        <v>7916248241</v>
      </c>
      <c r="E3" s="7">
        <f t="shared" si="0"/>
        <v>7916.2482410000002</v>
      </c>
      <c r="F3" s="3">
        <f t="shared" ref="F2:F22" si="1">D3/C3</f>
        <v>629422.61596565158</v>
      </c>
      <c r="G3" s="8">
        <f t="shared" ref="G2:G22" si="2">D3/B3/1000000</f>
        <v>149.36317435849057</v>
      </c>
    </row>
    <row r="4" spans="1:7" x14ac:dyDescent="0.3">
      <c r="A4" s="2" t="s">
        <v>9</v>
      </c>
      <c r="B4" s="3">
        <v>199</v>
      </c>
      <c r="C4" s="3">
        <v>27878</v>
      </c>
      <c r="D4" s="3">
        <v>2657337121</v>
      </c>
      <c r="E4" s="7">
        <f t="shared" si="0"/>
        <v>2657.337121</v>
      </c>
      <c r="F4" s="3">
        <f t="shared" si="1"/>
        <v>95320.220998636913</v>
      </c>
      <c r="G4" s="8">
        <f t="shared" si="2"/>
        <v>13.353452869346734</v>
      </c>
    </row>
    <row r="5" spans="1:7" x14ac:dyDescent="0.3">
      <c r="A5" s="2" t="s">
        <v>10</v>
      </c>
      <c r="B5" s="3">
        <v>605</v>
      </c>
      <c r="C5" s="3">
        <v>66014</v>
      </c>
      <c r="D5" s="3">
        <v>5608420074</v>
      </c>
      <c r="E5" s="7">
        <f t="shared" si="0"/>
        <v>5608.4200739999997</v>
      </c>
      <c r="F5" s="3">
        <f t="shared" si="1"/>
        <v>84958.040324779591</v>
      </c>
      <c r="G5" s="8">
        <f t="shared" si="2"/>
        <v>9.2701158247933897</v>
      </c>
    </row>
    <row r="6" spans="1:7" ht="55.2" x14ac:dyDescent="0.3">
      <c r="A6" s="2" t="s">
        <v>11</v>
      </c>
      <c r="B6" s="3">
        <v>174</v>
      </c>
      <c r="C6" s="3">
        <v>14298</v>
      </c>
      <c r="D6" s="3">
        <v>856536941</v>
      </c>
      <c r="E6" s="7">
        <f t="shared" si="0"/>
        <v>856.53694099999996</v>
      </c>
      <c r="F6" s="3">
        <f t="shared" si="1"/>
        <v>59906.066652678695</v>
      </c>
      <c r="G6" s="8">
        <f t="shared" si="2"/>
        <v>4.9226260977011487</v>
      </c>
    </row>
    <row r="7" spans="1:7" ht="41.4" x14ac:dyDescent="0.3">
      <c r="A7" s="2" t="s">
        <v>12</v>
      </c>
      <c r="B7" s="3">
        <v>89</v>
      </c>
      <c r="C7" s="3">
        <v>3708</v>
      </c>
      <c r="D7" s="3">
        <v>364104823</v>
      </c>
      <c r="E7" s="7">
        <f t="shared" si="0"/>
        <v>364.10482300000001</v>
      </c>
      <c r="F7" s="3">
        <f t="shared" si="1"/>
        <v>98194.396709816618</v>
      </c>
      <c r="G7" s="8">
        <f t="shared" si="2"/>
        <v>4.0910654269662921</v>
      </c>
    </row>
    <row r="8" spans="1:7" x14ac:dyDescent="0.3">
      <c r="A8" s="2" t="s">
        <v>13</v>
      </c>
      <c r="B8" s="3">
        <v>130</v>
      </c>
      <c r="C8" s="3">
        <v>20647</v>
      </c>
      <c r="D8" s="3">
        <v>5966261497</v>
      </c>
      <c r="E8" s="7">
        <f t="shared" si="0"/>
        <v>5966.2614970000004</v>
      </c>
      <c r="F8" s="3">
        <f t="shared" si="1"/>
        <v>288965.05531069887</v>
      </c>
      <c r="G8" s="8">
        <f t="shared" si="2"/>
        <v>45.894319207692313</v>
      </c>
    </row>
    <row r="9" spans="1:7" ht="27.6" x14ac:dyDescent="0.3">
      <c r="A9" s="2" t="s">
        <v>14</v>
      </c>
      <c r="B9" s="3">
        <v>298</v>
      </c>
      <c r="C9" s="3">
        <v>17959</v>
      </c>
      <c r="D9" s="3">
        <v>2386304024</v>
      </c>
      <c r="E9" s="7">
        <f t="shared" si="0"/>
        <v>2386.304024</v>
      </c>
      <c r="F9" s="3">
        <f t="shared" si="1"/>
        <v>132875.10574085417</v>
      </c>
      <c r="G9" s="8">
        <f t="shared" si="2"/>
        <v>8.0077316241610745</v>
      </c>
    </row>
    <row r="10" spans="1:7" ht="27.6" x14ac:dyDescent="0.3">
      <c r="A10" s="2" t="s">
        <v>15</v>
      </c>
      <c r="B10" s="3">
        <v>122</v>
      </c>
      <c r="C10" s="3">
        <v>7421</v>
      </c>
      <c r="D10" s="3">
        <v>3819024349</v>
      </c>
      <c r="E10" s="7">
        <f t="shared" si="0"/>
        <v>3819.0243489999998</v>
      </c>
      <c r="F10" s="3">
        <f t="shared" si="1"/>
        <v>514623.95216278132</v>
      </c>
      <c r="G10" s="8">
        <f t="shared" si="2"/>
        <v>31.303478270491805</v>
      </c>
    </row>
    <row r="11" spans="1:7" x14ac:dyDescent="0.3">
      <c r="A11" s="2" t="s">
        <v>16</v>
      </c>
      <c r="B11" s="3">
        <v>503</v>
      </c>
      <c r="C11" s="3">
        <v>59382</v>
      </c>
      <c r="D11" s="3">
        <v>18978868223</v>
      </c>
      <c r="E11" s="7">
        <f t="shared" si="0"/>
        <v>18978.868223000001</v>
      </c>
      <c r="F11" s="3">
        <f t="shared" si="1"/>
        <v>319606.41647300532</v>
      </c>
      <c r="G11" s="8">
        <f t="shared" si="2"/>
        <v>37.73134835586481</v>
      </c>
    </row>
    <row r="12" spans="1:7" ht="27.6" x14ac:dyDescent="0.3">
      <c r="A12" s="2" t="s">
        <v>17</v>
      </c>
      <c r="B12" s="3">
        <v>171</v>
      </c>
      <c r="C12" s="3">
        <v>31240</v>
      </c>
      <c r="D12" s="3">
        <v>7362333654</v>
      </c>
      <c r="E12" s="7">
        <f t="shared" si="0"/>
        <v>7362.333654</v>
      </c>
      <c r="F12" s="3">
        <f t="shared" si="1"/>
        <v>235670.09135723431</v>
      </c>
      <c r="G12" s="8">
        <f t="shared" si="2"/>
        <v>43.054582771929823</v>
      </c>
    </row>
    <row r="13" spans="1:7" x14ac:dyDescent="0.3">
      <c r="A13" s="2" t="s">
        <v>18</v>
      </c>
      <c r="B13" s="3">
        <v>563</v>
      </c>
      <c r="C13" s="3">
        <v>62974</v>
      </c>
      <c r="D13" s="3">
        <v>7989186541</v>
      </c>
      <c r="E13" s="7">
        <f t="shared" si="0"/>
        <v>7989.186541</v>
      </c>
      <c r="F13" s="3">
        <f t="shared" si="1"/>
        <v>126864.84169657319</v>
      </c>
      <c r="G13" s="8">
        <f t="shared" si="2"/>
        <v>14.190384619893427</v>
      </c>
    </row>
    <row r="14" spans="1:7" x14ac:dyDescent="0.3">
      <c r="A14" s="2" t="s">
        <v>19</v>
      </c>
      <c r="B14" s="3">
        <v>438</v>
      </c>
      <c r="C14" s="3">
        <v>39314</v>
      </c>
      <c r="D14" s="3">
        <v>9372191123</v>
      </c>
      <c r="E14" s="7">
        <f t="shared" si="0"/>
        <v>9372.1911230000005</v>
      </c>
      <c r="F14" s="3">
        <f t="shared" si="1"/>
        <v>238393.22182937377</v>
      </c>
      <c r="G14" s="8">
        <f t="shared" si="2"/>
        <v>21.397696627853882</v>
      </c>
    </row>
    <row r="15" spans="1:7" x14ac:dyDescent="0.3">
      <c r="A15" s="2" t="s">
        <v>20</v>
      </c>
      <c r="B15" s="3">
        <v>125</v>
      </c>
      <c r="C15" s="3">
        <v>13174</v>
      </c>
      <c r="D15" s="3">
        <v>3706062574</v>
      </c>
      <c r="E15" s="7">
        <f t="shared" si="0"/>
        <v>3706.062574</v>
      </c>
      <c r="F15" s="3">
        <f t="shared" si="1"/>
        <v>281316.42432063154</v>
      </c>
      <c r="G15" s="8">
        <f t="shared" si="2"/>
        <v>29.648500592000001</v>
      </c>
    </row>
    <row r="16" spans="1:7" ht="27.6" x14ac:dyDescent="0.3">
      <c r="A16" s="2" t="s">
        <v>21</v>
      </c>
      <c r="B16" s="3">
        <v>434</v>
      </c>
      <c r="C16" s="3">
        <v>34647</v>
      </c>
      <c r="D16" s="3">
        <v>4039069361</v>
      </c>
      <c r="E16" s="7">
        <f t="shared" si="0"/>
        <v>4039.0693609999998</v>
      </c>
      <c r="F16" s="3">
        <f t="shared" si="1"/>
        <v>116577.75163794846</v>
      </c>
      <c r="G16" s="8">
        <f t="shared" si="2"/>
        <v>9.3066114308755754</v>
      </c>
    </row>
    <row r="17" spans="1:7" x14ac:dyDescent="0.3">
      <c r="A17" s="2" t="s">
        <v>22</v>
      </c>
      <c r="B17" s="3">
        <v>142</v>
      </c>
      <c r="C17" s="3">
        <v>23580</v>
      </c>
      <c r="D17" s="3">
        <v>4164940526</v>
      </c>
      <c r="E17" s="7">
        <f t="shared" si="0"/>
        <v>4164.9405260000003</v>
      </c>
      <c r="F17" s="3">
        <f t="shared" si="1"/>
        <v>176630.21738761663</v>
      </c>
      <c r="G17" s="8">
        <f t="shared" si="2"/>
        <v>29.330567084507042</v>
      </c>
    </row>
    <row r="18" spans="1:7" x14ac:dyDescent="0.3">
      <c r="A18" s="2" t="s">
        <v>23</v>
      </c>
      <c r="B18" s="3">
        <v>275</v>
      </c>
      <c r="C18" s="3">
        <v>16841</v>
      </c>
      <c r="D18" s="3">
        <v>1673660110</v>
      </c>
      <c r="E18" s="7">
        <f t="shared" si="0"/>
        <v>1673.66011</v>
      </c>
      <c r="F18" s="3">
        <f t="shared" si="1"/>
        <v>99380.090849712011</v>
      </c>
      <c r="G18" s="8">
        <f t="shared" si="2"/>
        <v>6.0860367636363639</v>
      </c>
    </row>
    <row r="19" spans="1:7" ht="27.6" x14ac:dyDescent="0.3">
      <c r="A19" s="2" t="s">
        <v>24</v>
      </c>
      <c r="B19" s="3">
        <v>112</v>
      </c>
      <c r="C19" s="3">
        <v>10463</v>
      </c>
      <c r="D19" s="3">
        <v>778514487</v>
      </c>
      <c r="E19" s="7">
        <f t="shared" si="0"/>
        <v>778.51448700000003</v>
      </c>
      <c r="F19" s="3">
        <f t="shared" si="1"/>
        <v>74406.430947147092</v>
      </c>
      <c r="G19" s="8">
        <f t="shared" si="2"/>
        <v>6.9510222053571429</v>
      </c>
    </row>
    <row r="20" spans="1:7" x14ac:dyDescent="0.3">
      <c r="A20" s="2" t="s">
        <v>25</v>
      </c>
      <c r="B20" s="3">
        <v>32</v>
      </c>
      <c r="C20" s="3">
        <v>6880</v>
      </c>
      <c r="D20" s="3">
        <v>1226916083</v>
      </c>
      <c r="E20" s="7">
        <f t="shared" si="0"/>
        <v>1226.9160830000001</v>
      </c>
      <c r="F20" s="3">
        <f t="shared" si="1"/>
        <v>178330.82601744187</v>
      </c>
      <c r="G20" s="8">
        <f t="shared" si="2"/>
        <v>38.341127593750002</v>
      </c>
    </row>
    <row r="21" spans="1:7" x14ac:dyDescent="0.3">
      <c r="A21" s="2" t="s">
        <v>26</v>
      </c>
      <c r="B21" s="3">
        <v>227</v>
      </c>
      <c r="C21" s="3">
        <v>17096</v>
      </c>
      <c r="D21" s="3">
        <v>1596628479</v>
      </c>
      <c r="E21" s="7">
        <f t="shared" si="0"/>
        <v>1596.628479</v>
      </c>
      <c r="F21" s="3">
        <f t="shared" si="1"/>
        <v>93391.932557323351</v>
      </c>
      <c r="G21" s="8">
        <f t="shared" si="2"/>
        <v>7.0336056343612334</v>
      </c>
    </row>
    <row r="22" spans="1:7" x14ac:dyDescent="0.3">
      <c r="A22" s="2" t="s">
        <v>27</v>
      </c>
      <c r="B22" s="3">
        <v>604</v>
      </c>
      <c r="C22" s="3">
        <v>59219</v>
      </c>
      <c r="D22" s="3">
        <v>16290782103</v>
      </c>
      <c r="E22" s="7">
        <f t="shared" si="0"/>
        <v>16290.782103</v>
      </c>
      <c r="F22" s="3">
        <f t="shared" si="1"/>
        <v>275093.83986558369</v>
      </c>
      <c r="G22" s="8">
        <f t="shared" si="2"/>
        <v>26.971493548013243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22"/>
  <sheetViews>
    <sheetView workbookViewId="0"/>
  </sheetViews>
  <sheetFormatPr baseColWidth="10" defaultColWidth="8.88671875" defaultRowHeight="14.4" x14ac:dyDescent="0.3"/>
  <cols>
    <col min="1" max="1" width="50" customWidth="1"/>
  </cols>
  <sheetData>
    <row r="1" spans="1:27" ht="30" customHeight="1" x14ac:dyDescent="0.3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29</v>
      </c>
      <c r="G1" s="1" t="s">
        <v>30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3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  <c r="Y1" s="1" t="s">
        <v>74</v>
      </c>
      <c r="Z1" s="1" t="s">
        <v>75</v>
      </c>
      <c r="AA1" s="1" t="s">
        <v>76</v>
      </c>
    </row>
    <row r="2" spans="1:27" x14ac:dyDescent="0.3">
      <c r="A2" s="9" t="s">
        <v>7</v>
      </c>
      <c r="B2" s="10">
        <v>41513051405</v>
      </c>
      <c r="C2" s="10">
        <v>1287</v>
      </c>
      <c r="D2" s="10">
        <v>32255673.197358198</v>
      </c>
      <c r="E2" s="10">
        <v>184924</v>
      </c>
      <c r="F2" s="10">
        <v>122748</v>
      </c>
      <c r="G2" s="10">
        <v>62176</v>
      </c>
      <c r="H2" s="10">
        <v>0.66377538880837528</v>
      </c>
      <c r="I2" s="10">
        <v>0.33622461119162472</v>
      </c>
      <c r="J2" s="10">
        <v>24822</v>
      </c>
      <c r="K2" s="10">
        <v>0.13422811533386689</v>
      </c>
      <c r="L2" s="10">
        <v>168</v>
      </c>
      <c r="M2" s="10">
        <v>9.084813220566287E-4</v>
      </c>
      <c r="N2" s="10">
        <v>109757</v>
      </c>
      <c r="O2" s="10">
        <v>0.59352490752957976</v>
      </c>
      <c r="P2" s="10">
        <v>50177</v>
      </c>
      <c r="Q2" s="10">
        <v>0.27133849581449682</v>
      </c>
      <c r="R2" s="10">
        <v>224487.094184638</v>
      </c>
      <c r="S2" s="10">
        <v>58256.121328531422</v>
      </c>
      <c r="T2" s="10">
        <v>38995.364896999738</v>
      </c>
      <c r="U2" s="10">
        <v>69638.500906789966</v>
      </c>
      <c r="V2" s="10">
        <v>49912.860391295893</v>
      </c>
      <c r="W2" s="10">
        <v>292756.70455157763</v>
      </c>
      <c r="X2" s="10">
        <v>7472600317952</v>
      </c>
      <c r="Y2" s="10">
        <v>25524950</v>
      </c>
      <c r="Z2" s="10">
        <v>16800000</v>
      </c>
      <c r="AA2" s="10">
        <v>2127079.166666667</v>
      </c>
    </row>
    <row r="3" spans="1:27" x14ac:dyDescent="0.3">
      <c r="A3" s="9" t="s">
        <v>8</v>
      </c>
      <c r="B3" s="10">
        <v>7916248241</v>
      </c>
      <c r="C3" s="10">
        <v>53</v>
      </c>
      <c r="D3" s="10">
        <v>149363174.35849059</v>
      </c>
      <c r="E3" s="10">
        <v>12577</v>
      </c>
      <c r="F3" s="10">
        <v>9456</v>
      </c>
      <c r="G3" s="10">
        <v>3121</v>
      </c>
      <c r="H3" s="10">
        <v>0.7518486125467122</v>
      </c>
      <c r="I3" s="10">
        <v>0.24815138745328769</v>
      </c>
      <c r="J3" s="10">
        <v>1385</v>
      </c>
      <c r="K3" s="10">
        <v>0.1101216506321062</v>
      </c>
      <c r="L3" s="10">
        <v>11</v>
      </c>
      <c r="M3" s="10">
        <v>8.7461238769181841E-4</v>
      </c>
      <c r="N3" s="10">
        <v>4416</v>
      </c>
      <c r="O3" s="10">
        <v>0.35111711854973371</v>
      </c>
      <c r="P3" s="10">
        <v>6765</v>
      </c>
      <c r="Q3" s="10">
        <v>0.53788661843046837</v>
      </c>
      <c r="R3" s="10">
        <v>629422.61596565158</v>
      </c>
      <c r="S3" s="10">
        <v>114584.5078796562</v>
      </c>
      <c r="T3" s="10">
        <v>60024.80865036232</v>
      </c>
      <c r="U3" s="10">
        <v>78295.286326681453</v>
      </c>
      <c r="V3" s="10">
        <v>75908.176830722747</v>
      </c>
      <c r="W3" s="10">
        <v>53982.389692664146</v>
      </c>
      <c r="X3" s="10">
        <v>1589056897024</v>
      </c>
      <c r="Y3" s="10">
        <v>29436578</v>
      </c>
      <c r="Z3" s="10">
        <v>18000000</v>
      </c>
      <c r="AA3" s="10">
        <v>2453048.166666667</v>
      </c>
    </row>
    <row r="4" spans="1:27" x14ac:dyDescent="0.3">
      <c r="A4" s="9" t="s">
        <v>9</v>
      </c>
      <c r="B4" s="10">
        <v>2657337121</v>
      </c>
      <c r="C4" s="10">
        <v>199</v>
      </c>
      <c r="D4" s="10">
        <v>13353452.86934673</v>
      </c>
      <c r="E4" s="10">
        <v>27878</v>
      </c>
      <c r="F4" s="10">
        <v>17939</v>
      </c>
      <c r="G4" s="10">
        <v>9939</v>
      </c>
      <c r="H4" s="10">
        <v>0.64348231580457704</v>
      </c>
      <c r="I4" s="10">
        <v>0.3565176841954229</v>
      </c>
      <c r="J4" s="10">
        <v>3459</v>
      </c>
      <c r="K4" s="10">
        <v>0.124076332592008</v>
      </c>
      <c r="L4" s="10">
        <v>13</v>
      </c>
      <c r="M4" s="10">
        <v>4.6631752636487552E-4</v>
      </c>
      <c r="N4" s="10">
        <v>18613</v>
      </c>
      <c r="O4" s="10">
        <v>0.66765908601764834</v>
      </c>
      <c r="P4" s="10">
        <v>5793</v>
      </c>
      <c r="Q4" s="10">
        <v>0.20779826386397879</v>
      </c>
      <c r="R4" s="10">
        <v>95320.220998636913</v>
      </c>
      <c r="S4" s="10">
        <v>58933.520737327191</v>
      </c>
      <c r="T4" s="10">
        <v>32534.454682211359</v>
      </c>
      <c r="U4" s="10">
        <v>77586.766787502158</v>
      </c>
      <c r="V4" s="10">
        <v>45184.056675514737</v>
      </c>
      <c r="W4" s="10">
        <v>33381.501019895077</v>
      </c>
      <c r="X4" s="10">
        <v>801464188928</v>
      </c>
      <c r="Y4" s="10">
        <v>24009232</v>
      </c>
      <c r="Z4" s="10">
        <v>16800000</v>
      </c>
      <c r="AA4" s="10">
        <v>2000769.333333333</v>
      </c>
    </row>
    <row r="5" spans="1:27" x14ac:dyDescent="0.3">
      <c r="A5" s="9" t="s">
        <v>10</v>
      </c>
      <c r="B5" s="10">
        <v>5608420074</v>
      </c>
      <c r="C5" s="10">
        <v>605</v>
      </c>
      <c r="D5" s="10">
        <v>9270115.8247933891</v>
      </c>
      <c r="E5" s="10">
        <v>66014</v>
      </c>
      <c r="F5" s="10">
        <v>20680</v>
      </c>
      <c r="G5" s="10">
        <v>45334</v>
      </c>
      <c r="H5" s="10">
        <v>0.31326688278244008</v>
      </c>
      <c r="I5" s="10">
        <v>0.68673311721755992</v>
      </c>
      <c r="J5" s="10">
        <v>6705</v>
      </c>
      <c r="K5" s="10">
        <v>0.10156936407428729</v>
      </c>
      <c r="L5" s="10">
        <v>112</v>
      </c>
      <c r="M5" s="10">
        <v>1.696609810040295E-3</v>
      </c>
      <c r="N5" s="10">
        <v>43090</v>
      </c>
      <c r="O5" s="10">
        <v>0.65274032780925262</v>
      </c>
      <c r="P5" s="10">
        <v>16107</v>
      </c>
      <c r="Q5" s="10">
        <v>0.24399369830641979</v>
      </c>
      <c r="R5" s="10">
        <v>84958.040324779591</v>
      </c>
      <c r="S5" s="10">
        <v>49994.283849200518</v>
      </c>
      <c r="T5" s="10">
        <v>28625.878602924109</v>
      </c>
      <c r="U5" s="10">
        <v>59164.37275718632</v>
      </c>
      <c r="V5" s="10">
        <v>38283.707910443241</v>
      </c>
      <c r="W5" s="10">
        <v>156115.59936070439</v>
      </c>
      <c r="X5" s="10">
        <v>3258957692928</v>
      </c>
      <c r="Y5" s="10">
        <v>20875286</v>
      </c>
      <c r="Z5" s="10">
        <v>15600000</v>
      </c>
      <c r="AA5" s="10">
        <v>1739607.166666667</v>
      </c>
    </row>
    <row r="6" spans="1:27" ht="57.6" x14ac:dyDescent="0.3">
      <c r="A6" s="9" t="s">
        <v>11</v>
      </c>
      <c r="B6" s="10">
        <v>856536941</v>
      </c>
      <c r="C6" s="10">
        <v>174</v>
      </c>
      <c r="D6" s="10">
        <v>4922626.0977011491</v>
      </c>
      <c r="E6" s="10">
        <v>14298</v>
      </c>
      <c r="F6" s="10">
        <v>7301</v>
      </c>
      <c r="G6" s="10">
        <v>6997</v>
      </c>
      <c r="H6" s="10">
        <v>0.51063085746258219</v>
      </c>
      <c r="I6" s="10">
        <v>0.48936914253741781</v>
      </c>
      <c r="J6" s="10">
        <v>1142</v>
      </c>
      <c r="K6" s="10">
        <v>7.9871310672821369E-2</v>
      </c>
      <c r="L6" s="10">
        <v>21</v>
      </c>
      <c r="M6" s="10">
        <v>1.4687368862778009E-3</v>
      </c>
      <c r="N6" s="10">
        <v>9801</v>
      </c>
      <c r="O6" s="10">
        <v>0.68548048678136797</v>
      </c>
      <c r="P6" s="10">
        <v>3334</v>
      </c>
      <c r="Q6" s="10">
        <v>0.23317946565953279</v>
      </c>
      <c r="R6" s="10">
        <v>59906.066652678703</v>
      </c>
      <c r="S6" s="10">
        <v>59824.983662940671</v>
      </c>
      <c r="T6" s="10">
        <v>27406.555555555551</v>
      </c>
      <c r="U6" s="10">
        <v>63385.710857828431</v>
      </c>
      <c r="V6" s="10">
        <v>38433.070988949497</v>
      </c>
      <c r="W6" s="10">
        <v>40735.455275535583</v>
      </c>
      <c r="X6" s="10">
        <v>739507306496</v>
      </c>
      <c r="Y6" s="10">
        <v>18153898</v>
      </c>
      <c r="Z6" s="10">
        <v>15600000</v>
      </c>
      <c r="AA6" s="10">
        <v>1512824.833333333</v>
      </c>
    </row>
    <row r="7" spans="1:27" ht="43.2" x14ac:dyDescent="0.3">
      <c r="A7" s="9" t="s">
        <v>12</v>
      </c>
      <c r="B7" s="10">
        <v>364104823</v>
      </c>
      <c r="C7" s="10">
        <v>89</v>
      </c>
      <c r="D7" s="10">
        <v>4091065.4269662919</v>
      </c>
      <c r="E7" s="10">
        <v>3708</v>
      </c>
      <c r="F7" s="10">
        <v>3013</v>
      </c>
      <c r="G7" s="10">
        <v>695</v>
      </c>
      <c r="H7" s="10">
        <v>0.81256742179072272</v>
      </c>
      <c r="I7" s="10">
        <v>0.18743257820927731</v>
      </c>
      <c r="J7" s="10">
        <v>305</v>
      </c>
      <c r="K7" s="10">
        <v>8.2254584681769147E-2</v>
      </c>
      <c r="L7" s="10">
        <v>4</v>
      </c>
      <c r="M7" s="10">
        <v>1.078748651564185E-3</v>
      </c>
      <c r="N7" s="10">
        <v>2621</v>
      </c>
      <c r="O7" s="10">
        <v>0.70685005393743261</v>
      </c>
      <c r="P7" s="10">
        <v>778</v>
      </c>
      <c r="Q7" s="10">
        <v>0.2098166127292341</v>
      </c>
      <c r="R7" s="10">
        <v>98194.396709816618</v>
      </c>
      <c r="S7" s="10">
        <v>81996.336569579289</v>
      </c>
      <c r="T7" s="10">
        <v>30320.499046165591</v>
      </c>
      <c r="U7" s="10">
        <v>64857.182519280213</v>
      </c>
      <c r="V7" s="10">
        <v>41873.188781014032</v>
      </c>
      <c r="W7" s="10">
        <v>7992.1848473548889</v>
      </c>
      <c r="X7" s="10">
        <v>179486179328</v>
      </c>
      <c r="Y7" s="10">
        <v>22457712</v>
      </c>
      <c r="Z7" s="10">
        <v>15600000</v>
      </c>
      <c r="AA7" s="10">
        <v>1871476</v>
      </c>
    </row>
    <row r="8" spans="1:27" x14ac:dyDescent="0.3">
      <c r="A8" s="9" t="s">
        <v>13</v>
      </c>
      <c r="B8" s="10">
        <v>5966261497</v>
      </c>
      <c r="C8" s="10">
        <v>130</v>
      </c>
      <c r="D8" s="10">
        <v>45894319.20769231</v>
      </c>
      <c r="E8" s="10">
        <v>20647</v>
      </c>
      <c r="F8" s="10">
        <v>14772</v>
      </c>
      <c r="G8" s="10">
        <v>5875</v>
      </c>
      <c r="H8" s="10">
        <v>0.71545502978640962</v>
      </c>
      <c r="I8" s="10">
        <v>0.28454497021359038</v>
      </c>
      <c r="J8" s="10">
        <v>3650</v>
      </c>
      <c r="K8" s="10">
        <v>0.176781130430571</v>
      </c>
      <c r="L8" s="10">
        <v>12</v>
      </c>
      <c r="M8" s="10">
        <v>5.8119823703201435E-4</v>
      </c>
      <c r="N8" s="10">
        <v>12137</v>
      </c>
      <c r="O8" s="10">
        <v>0.5878335835714632</v>
      </c>
      <c r="P8" s="10">
        <v>4848</v>
      </c>
      <c r="Q8" s="10">
        <v>0.23480408776093381</v>
      </c>
      <c r="R8" s="10">
        <v>288965.05531069892</v>
      </c>
      <c r="S8" s="10">
        <v>121858.6127799017</v>
      </c>
      <c r="T8" s="10">
        <v>48587.34571970009</v>
      </c>
      <c r="U8" s="10">
        <v>111106.88448844881</v>
      </c>
      <c r="V8" s="10">
        <v>76262.751247154549</v>
      </c>
      <c r="W8" s="10">
        <v>36072.072888374329</v>
      </c>
      <c r="X8" s="10">
        <v>1498787872768</v>
      </c>
      <c r="Y8" s="10">
        <v>41549812</v>
      </c>
      <c r="Z8" s="10">
        <v>18000000</v>
      </c>
      <c r="AA8" s="10">
        <v>3462484.333333333</v>
      </c>
    </row>
    <row r="9" spans="1:27" ht="28.8" x14ac:dyDescent="0.3">
      <c r="A9" s="9" t="s">
        <v>14</v>
      </c>
      <c r="B9" s="10">
        <v>2386304024</v>
      </c>
      <c r="C9" s="10">
        <v>298</v>
      </c>
      <c r="D9" s="10">
        <v>8007731.6241610739</v>
      </c>
      <c r="E9" s="10">
        <v>17959</v>
      </c>
      <c r="F9" s="10">
        <v>10433</v>
      </c>
      <c r="G9" s="10">
        <v>7526</v>
      </c>
      <c r="H9" s="10">
        <v>0.5809343504649479</v>
      </c>
      <c r="I9" s="10">
        <v>0.41906564953505199</v>
      </c>
      <c r="J9" s="10">
        <v>2695</v>
      </c>
      <c r="K9" s="10">
        <v>0.1500640347458099</v>
      </c>
      <c r="L9" s="10">
        <v>20</v>
      </c>
      <c r="M9" s="10">
        <v>1.113647753215658E-3</v>
      </c>
      <c r="N9" s="10">
        <v>10896</v>
      </c>
      <c r="O9" s="10">
        <v>0.60671529595189044</v>
      </c>
      <c r="P9" s="10">
        <v>4348</v>
      </c>
      <c r="Q9" s="10">
        <v>0.24210702154908401</v>
      </c>
      <c r="R9" s="10">
        <v>132875.1057408542</v>
      </c>
      <c r="S9" s="10">
        <v>54490.335911602211</v>
      </c>
      <c r="T9" s="10">
        <v>34344.688050660792</v>
      </c>
      <c r="U9" s="10">
        <v>70162.488500459978</v>
      </c>
      <c r="V9" s="10">
        <v>46062.00139205969</v>
      </c>
      <c r="W9" s="10">
        <v>14227.397269248961</v>
      </c>
      <c r="X9" s="10">
        <v>320827621376</v>
      </c>
      <c r="Y9" s="10">
        <v>22549986</v>
      </c>
      <c r="Z9" s="10">
        <v>18000000</v>
      </c>
      <c r="AA9" s="10">
        <v>1879165.5</v>
      </c>
    </row>
    <row r="10" spans="1:27" ht="28.8" x14ac:dyDescent="0.3">
      <c r="A10" s="9" t="s">
        <v>15</v>
      </c>
      <c r="B10" s="10">
        <v>3819024349</v>
      </c>
      <c r="C10" s="10">
        <v>122</v>
      </c>
      <c r="D10" s="10">
        <v>31303478.270491801</v>
      </c>
      <c r="E10" s="10">
        <v>7421</v>
      </c>
      <c r="F10" s="10">
        <v>5679</v>
      </c>
      <c r="G10" s="10">
        <v>1742</v>
      </c>
      <c r="H10" s="10">
        <v>0.76526074653011722</v>
      </c>
      <c r="I10" s="10">
        <v>0.23473925346988281</v>
      </c>
      <c r="J10" s="10">
        <v>2328</v>
      </c>
      <c r="K10" s="10">
        <v>0.31370435251313838</v>
      </c>
      <c r="L10" s="10">
        <v>3</v>
      </c>
      <c r="M10" s="10">
        <v>4.0425818622827109E-4</v>
      </c>
      <c r="N10" s="10">
        <v>3442</v>
      </c>
      <c r="O10" s="10">
        <v>0.46381889233256968</v>
      </c>
      <c r="P10" s="10">
        <v>1648</v>
      </c>
      <c r="Q10" s="10">
        <v>0.22207249696806361</v>
      </c>
      <c r="R10" s="10">
        <v>514623.95216278132</v>
      </c>
      <c r="S10" s="10">
        <v>154190.2621192621</v>
      </c>
      <c r="T10" s="10">
        <v>62280.843695525858</v>
      </c>
      <c r="U10" s="10">
        <v>106340.96359223301</v>
      </c>
      <c r="V10" s="10">
        <v>100934.9242689665</v>
      </c>
      <c r="W10" s="10">
        <v>7219.251886844635</v>
      </c>
      <c r="X10" s="10">
        <v>217988431872</v>
      </c>
      <c r="Y10" s="10">
        <v>30195434</v>
      </c>
      <c r="Z10" s="10">
        <v>18000000</v>
      </c>
      <c r="AA10" s="10">
        <v>2516286.166666667</v>
      </c>
    </row>
    <row r="11" spans="1:27" x14ac:dyDescent="0.3">
      <c r="A11" s="9" t="s">
        <v>16</v>
      </c>
      <c r="B11" s="10">
        <v>18978868223</v>
      </c>
      <c r="C11" s="10">
        <v>503</v>
      </c>
      <c r="D11" s="10">
        <v>37731348.355864808</v>
      </c>
      <c r="E11" s="10">
        <v>59382</v>
      </c>
      <c r="F11" s="10">
        <v>34674</v>
      </c>
      <c r="G11" s="10">
        <v>24708</v>
      </c>
      <c r="H11" s="10">
        <v>0.58391431746994038</v>
      </c>
      <c r="I11" s="10">
        <v>0.41608568253005962</v>
      </c>
      <c r="J11" s="10">
        <v>9544</v>
      </c>
      <c r="K11" s="10">
        <v>0.1607221043413829</v>
      </c>
      <c r="L11" s="10">
        <v>79</v>
      </c>
      <c r="M11" s="10">
        <v>1.330369472230642E-3</v>
      </c>
      <c r="N11" s="10">
        <v>28728</v>
      </c>
      <c r="O11" s="10">
        <v>0.48378296453470748</v>
      </c>
      <c r="P11" s="10">
        <v>21031</v>
      </c>
      <c r="Q11" s="10">
        <v>0.35416456165167898</v>
      </c>
      <c r="R11" s="10">
        <v>319606.41647300532</v>
      </c>
      <c r="S11" s="10">
        <v>81042.841317676401</v>
      </c>
      <c r="T11" s="10">
        <v>42697.25</v>
      </c>
      <c r="U11" s="10">
        <v>91051.250011887212</v>
      </c>
      <c r="V11" s="10">
        <v>66036.521454312751</v>
      </c>
      <c r="W11" s="10">
        <v>81296.940004348755</v>
      </c>
      <c r="X11" s="10">
        <v>2292983267328</v>
      </c>
      <c r="Y11" s="10">
        <v>28205038</v>
      </c>
      <c r="Z11" s="10">
        <v>18000000</v>
      </c>
      <c r="AA11" s="10">
        <v>2350419.833333333</v>
      </c>
    </row>
    <row r="12" spans="1:27" ht="43.2" x14ac:dyDescent="0.3">
      <c r="A12" s="9" t="s">
        <v>17</v>
      </c>
      <c r="B12" s="10">
        <v>7362333654</v>
      </c>
      <c r="C12" s="10">
        <v>171</v>
      </c>
      <c r="D12" s="10">
        <v>43054582.771929823</v>
      </c>
      <c r="E12" s="10">
        <v>31240</v>
      </c>
      <c r="F12" s="10">
        <v>14196</v>
      </c>
      <c r="G12" s="10">
        <v>17044</v>
      </c>
      <c r="H12" s="10">
        <v>0.45441741357234322</v>
      </c>
      <c r="I12" s="10">
        <v>0.54558258642765689</v>
      </c>
      <c r="J12" s="10">
        <v>7456</v>
      </c>
      <c r="K12" s="10">
        <v>0.23866837387964149</v>
      </c>
      <c r="L12" s="10">
        <v>36</v>
      </c>
      <c r="M12" s="10">
        <v>1.1523687580025611E-3</v>
      </c>
      <c r="N12" s="10">
        <v>13612</v>
      </c>
      <c r="O12" s="10">
        <v>0.43572343149807941</v>
      </c>
      <c r="P12" s="10">
        <v>10136</v>
      </c>
      <c r="Q12" s="10">
        <v>0.32445582586427663</v>
      </c>
      <c r="R12" s="10">
        <v>235670.09135723431</v>
      </c>
      <c r="S12" s="10">
        <v>76360.745595301662</v>
      </c>
      <c r="T12" s="10">
        <v>42392.343961210703</v>
      </c>
      <c r="U12" s="10">
        <v>102431.9328137332</v>
      </c>
      <c r="V12" s="10">
        <v>70018.865941101147</v>
      </c>
      <c r="W12" s="10">
        <v>50389.893980741501</v>
      </c>
      <c r="X12" s="10">
        <v>2090827382784</v>
      </c>
      <c r="Y12" s="10">
        <v>41492988</v>
      </c>
      <c r="Z12" s="10">
        <v>22584000</v>
      </c>
      <c r="AA12" s="10">
        <v>3457749</v>
      </c>
    </row>
    <row r="13" spans="1:27" x14ac:dyDescent="0.3">
      <c r="A13" s="9" t="s">
        <v>18</v>
      </c>
      <c r="B13" s="10">
        <v>7989186541</v>
      </c>
      <c r="C13" s="10">
        <v>563</v>
      </c>
      <c r="D13" s="10">
        <v>14190384.61989343</v>
      </c>
      <c r="E13" s="10">
        <v>62974</v>
      </c>
      <c r="F13" s="10">
        <v>40513</v>
      </c>
      <c r="G13" s="10">
        <v>22461</v>
      </c>
      <c r="H13" s="10">
        <v>0.64332899291771206</v>
      </c>
      <c r="I13" s="10">
        <v>0.35667100708228788</v>
      </c>
      <c r="J13" s="10">
        <v>9648</v>
      </c>
      <c r="K13" s="10">
        <v>0.15320608505097341</v>
      </c>
      <c r="L13" s="10">
        <v>59</v>
      </c>
      <c r="M13" s="10">
        <v>9.368945914186807E-4</v>
      </c>
      <c r="N13" s="10">
        <v>39197</v>
      </c>
      <c r="O13" s="10">
        <v>0.62243147965827161</v>
      </c>
      <c r="P13" s="10">
        <v>14070</v>
      </c>
      <c r="Q13" s="10">
        <v>0.22342554069933621</v>
      </c>
      <c r="R13" s="10">
        <v>126864.8416965732</v>
      </c>
      <c r="S13" s="10">
        <v>60291.353456268669</v>
      </c>
      <c r="T13" s="10">
        <v>35967.423042579787</v>
      </c>
      <c r="U13" s="10">
        <v>79032.197867803843</v>
      </c>
      <c r="V13" s="10">
        <v>49338.556753580837</v>
      </c>
      <c r="W13" s="10">
        <v>95304.083910703659</v>
      </c>
      <c r="X13" s="10">
        <v>2442556342272</v>
      </c>
      <c r="Y13" s="10">
        <v>25629082</v>
      </c>
      <c r="Z13" s="10">
        <v>17544000</v>
      </c>
      <c r="AA13" s="10">
        <v>2135756.833333333</v>
      </c>
    </row>
    <row r="14" spans="1:27" x14ac:dyDescent="0.3">
      <c r="A14" s="9" t="s">
        <v>19</v>
      </c>
      <c r="B14" s="10">
        <v>9372191123</v>
      </c>
      <c r="C14" s="10">
        <v>438</v>
      </c>
      <c r="D14" s="10">
        <v>21397696.627853882</v>
      </c>
      <c r="E14" s="10">
        <v>39314</v>
      </c>
      <c r="F14" s="10">
        <v>34000</v>
      </c>
      <c r="G14" s="10">
        <v>5314</v>
      </c>
      <c r="H14" s="10">
        <v>0.8648318665106578</v>
      </c>
      <c r="I14" s="10">
        <v>0.1351681334893422</v>
      </c>
      <c r="J14" s="10">
        <v>4596</v>
      </c>
      <c r="K14" s="10">
        <v>0.1169049193671466</v>
      </c>
      <c r="L14" s="10">
        <v>19</v>
      </c>
      <c r="M14" s="10">
        <v>4.8328839599124989E-4</v>
      </c>
      <c r="N14" s="10">
        <v>27701</v>
      </c>
      <c r="O14" s="10">
        <v>0.70460904512387446</v>
      </c>
      <c r="P14" s="10">
        <v>6998</v>
      </c>
      <c r="Q14" s="10">
        <v>0.17800274711298769</v>
      </c>
      <c r="R14" s="10">
        <v>238393.2218293738</v>
      </c>
      <c r="S14" s="10">
        <v>80409.660021668475</v>
      </c>
      <c r="T14" s="10">
        <v>47340.585213530198</v>
      </c>
      <c r="U14" s="10">
        <v>82590.511003143751</v>
      </c>
      <c r="V14" s="10">
        <v>57497.088340031543</v>
      </c>
      <c r="W14" s="10">
        <v>65302.21913433075</v>
      </c>
      <c r="X14" s="10">
        <v>2141214474240</v>
      </c>
      <c r="Y14" s="10">
        <v>32789306</v>
      </c>
      <c r="Z14" s="10">
        <v>18000000</v>
      </c>
      <c r="AA14" s="10">
        <v>2732442.166666667</v>
      </c>
    </row>
    <row r="15" spans="1:27" x14ac:dyDescent="0.3">
      <c r="A15" s="9" t="s">
        <v>20</v>
      </c>
      <c r="B15" s="10">
        <v>3706062574</v>
      </c>
      <c r="C15" s="10">
        <v>125</v>
      </c>
      <c r="D15" s="10">
        <v>29648500.592</v>
      </c>
      <c r="E15" s="10">
        <v>13174</v>
      </c>
      <c r="F15" s="10">
        <v>11104</v>
      </c>
      <c r="G15" s="10">
        <v>2070</v>
      </c>
      <c r="H15" s="10">
        <v>0.84287232427508729</v>
      </c>
      <c r="I15" s="10">
        <v>0.15712767572491271</v>
      </c>
      <c r="J15" s="10">
        <v>2188</v>
      </c>
      <c r="K15" s="10">
        <v>0.16608471231213001</v>
      </c>
      <c r="L15" s="10">
        <v>27</v>
      </c>
      <c r="M15" s="10">
        <v>2.0494914224988611E-3</v>
      </c>
      <c r="N15" s="10">
        <v>7750</v>
      </c>
      <c r="O15" s="10">
        <v>0.58827994534689543</v>
      </c>
      <c r="P15" s="10">
        <v>3209</v>
      </c>
      <c r="Q15" s="10">
        <v>0.24358585091847579</v>
      </c>
      <c r="R15" s="10">
        <v>281316.42432063149</v>
      </c>
      <c r="S15" s="10">
        <v>66543.927313769746</v>
      </c>
      <c r="T15" s="10">
        <v>51463.606064516127</v>
      </c>
      <c r="U15" s="10">
        <v>99677.63010283577</v>
      </c>
      <c r="V15" s="10">
        <v>65743.378169121002</v>
      </c>
      <c r="W15" s="10">
        <v>16507.17465925217</v>
      </c>
      <c r="X15" s="10">
        <v>420233314304</v>
      </c>
      <c r="Y15" s="10">
        <v>25457616</v>
      </c>
      <c r="Z15" s="10">
        <v>20400000</v>
      </c>
      <c r="AA15" s="10">
        <v>2121468</v>
      </c>
    </row>
    <row r="16" spans="1:27" ht="28.8" x14ac:dyDescent="0.3">
      <c r="A16" s="9" t="s">
        <v>21</v>
      </c>
      <c r="B16" s="10">
        <v>4039069361</v>
      </c>
      <c r="C16" s="10">
        <v>434</v>
      </c>
      <c r="D16" s="10">
        <v>9306611.4308755752</v>
      </c>
      <c r="E16" s="10">
        <v>34647</v>
      </c>
      <c r="F16" s="10">
        <v>27999</v>
      </c>
      <c r="G16" s="10">
        <v>6648</v>
      </c>
      <c r="H16" s="10">
        <v>0.80812191531734345</v>
      </c>
      <c r="I16" s="10">
        <v>0.19187808468265649</v>
      </c>
      <c r="J16" s="10">
        <v>4462</v>
      </c>
      <c r="K16" s="10">
        <v>0.12878459895517649</v>
      </c>
      <c r="L16" s="10">
        <v>23</v>
      </c>
      <c r="M16" s="10">
        <v>6.6383813894420871E-4</v>
      </c>
      <c r="N16" s="10">
        <v>21977</v>
      </c>
      <c r="O16" s="10">
        <v>0.63431177302508157</v>
      </c>
      <c r="P16" s="10">
        <v>8185</v>
      </c>
      <c r="Q16" s="10">
        <v>0.2362397898807978</v>
      </c>
      <c r="R16" s="10">
        <v>116577.7516379485</v>
      </c>
      <c r="S16" s="10">
        <v>55925.983723522862</v>
      </c>
      <c r="T16" s="10">
        <v>34136.709742002997</v>
      </c>
      <c r="U16" s="10">
        <v>78400.214416615767</v>
      </c>
      <c r="V16" s="10">
        <v>47414.098161456983</v>
      </c>
      <c r="W16" s="10">
        <v>76325.984061479568</v>
      </c>
      <c r="X16" s="10">
        <v>1933640335360</v>
      </c>
      <c r="Y16" s="10">
        <v>25333972</v>
      </c>
      <c r="Z16" s="10">
        <v>17520000</v>
      </c>
      <c r="AA16" s="10">
        <v>2111164.333333333</v>
      </c>
    </row>
    <row r="17" spans="1:27" x14ac:dyDescent="0.3">
      <c r="A17" s="9" t="s">
        <v>22</v>
      </c>
      <c r="B17" s="10">
        <v>4164940526</v>
      </c>
      <c r="C17" s="10">
        <v>142</v>
      </c>
      <c r="D17" s="10">
        <v>29330567.084507041</v>
      </c>
      <c r="E17" s="10">
        <v>23580</v>
      </c>
      <c r="F17" s="10">
        <v>17033</v>
      </c>
      <c r="G17" s="10">
        <v>6547</v>
      </c>
      <c r="H17" s="10">
        <v>0.72234944868532658</v>
      </c>
      <c r="I17" s="10">
        <v>0.27765055131467348</v>
      </c>
      <c r="J17" s="10">
        <v>3918</v>
      </c>
      <c r="K17" s="10">
        <v>0.16615776081424941</v>
      </c>
      <c r="L17" s="10">
        <v>26</v>
      </c>
      <c r="M17" s="10">
        <v>1.1026293469041559E-3</v>
      </c>
      <c r="N17" s="10">
        <v>12521</v>
      </c>
      <c r="O17" s="10">
        <v>0.53100084817642068</v>
      </c>
      <c r="P17" s="10">
        <v>7115</v>
      </c>
      <c r="Q17" s="10">
        <v>0.3017387616624258</v>
      </c>
      <c r="R17" s="10">
        <v>176630.21738761661</v>
      </c>
      <c r="S17" s="10">
        <v>78682.939401622716</v>
      </c>
      <c r="T17" s="10">
        <v>41016.039373851927</v>
      </c>
      <c r="U17" s="10">
        <v>99392.272803935353</v>
      </c>
      <c r="V17" s="10">
        <v>64930.592536047501</v>
      </c>
      <c r="W17" s="10">
        <v>25539.73281955719</v>
      </c>
      <c r="X17" s="10">
        <v>778700259328</v>
      </c>
      <c r="Y17" s="10">
        <v>30489758</v>
      </c>
      <c r="Z17" s="10">
        <v>19200000</v>
      </c>
      <c r="AA17" s="10">
        <v>2540813.166666667</v>
      </c>
    </row>
    <row r="18" spans="1:27" x14ac:dyDescent="0.3">
      <c r="A18" s="9" t="s">
        <v>23</v>
      </c>
      <c r="B18" s="10">
        <v>1673660110</v>
      </c>
      <c r="C18" s="10">
        <v>275</v>
      </c>
      <c r="D18" s="10">
        <v>6086036.7636363637</v>
      </c>
      <c r="E18" s="10">
        <v>16841</v>
      </c>
      <c r="F18" s="10">
        <v>13177</v>
      </c>
      <c r="G18" s="10">
        <v>3664</v>
      </c>
      <c r="H18" s="10">
        <v>0.78243572234427883</v>
      </c>
      <c r="I18" s="10">
        <v>0.21756427765572109</v>
      </c>
      <c r="J18" s="10">
        <v>3449</v>
      </c>
      <c r="K18" s="10">
        <v>0.20479781485660001</v>
      </c>
      <c r="L18" s="10">
        <v>25</v>
      </c>
      <c r="M18" s="10">
        <v>1.4844724185024639E-3</v>
      </c>
      <c r="N18" s="10">
        <v>8427</v>
      </c>
      <c r="O18" s="10">
        <v>0.50038596282881065</v>
      </c>
      <c r="P18" s="10">
        <v>4940</v>
      </c>
      <c r="Q18" s="10">
        <v>0.29333174989608701</v>
      </c>
      <c r="R18" s="10">
        <v>99380.090849712011</v>
      </c>
      <c r="S18" s="10">
        <v>55376.390903857216</v>
      </c>
      <c r="T18" s="10">
        <v>34815.02622522843</v>
      </c>
      <c r="U18" s="10">
        <v>76446.975910931171</v>
      </c>
      <c r="V18" s="10">
        <v>51268.443976010924</v>
      </c>
      <c r="W18" s="10">
        <v>17297.38198184967</v>
      </c>
      <c r="X18" s="10">
        <v>528142041088</v>
      </c>
      <c r="Y18" s="10">
        <v>30533062</v>
      </c>
      <c r="Z18" s="10">
        <v>21600000</v>
      </c>
      <c r="AA18" s="10">
        <v>2544421.833333333</v>
      </c>
    </row>
    <row r="19" spans="1:27" ht="28.8" x14ac:dyDescent="0.3">
      <c r="A19" s="9" t="s">
        <v>24</v>
      </c>
      <c r="B19" s="10">
        <v>778514487</v>
      </c>
      <c r="C19" s="10">
        <v>112</v>
      </c>
      <c r="D19" s="10">
        <v>6951022.2053571427</v>
      </c>
      <c r="E19" s="10">
        <v>10463</v>
      </c>
      <c r="F19" s="10">
        <v>7821</v>
      </c>
      <c r="G19" s="10">
        <v>2642</v>
      </c>
      <c r="H19" s="10">
        <v>0.74749115932332988</v>
      </c>
      <c r="I19" s="10">
        <v>0.25250884067667018</v>
      </c>
      <c r="J19" s="10">
        <v>1515</v>
      </c>
      <c r="K19" s="10">
        <v>0.1447959476249642</v>
      </c>
      <c r="L19" s="10">
        <v>13</v>
      </c>
      <c r="M19" s="10">
        <v>1.24247347796999E-3</v>
      </c>
      <c r="N19" s="10">
        <v>7110</v>
      </c>
      <c r="O19" s="10">
        <v>0.67953741756666353</v>
      </c>
      <c r="P19" s="10">
        <v>1825</v>
      </c>
      <c r="Q19" s="10">
        <v>0.17442416133040239</v>
      </c>
      <c r="R19" s="10">
        <v>74406.430947147092</v>
      </c>
      <c r="S19" s="10">
        <v>51782.628272251313</v>
      </c>
      <c r="T19" s="10">
        <v>34573.440365682138</v>
      </c>
      <c r="U19" s="10">
        <v>77064.286027397262</v>
      </c>
      <c r="V19" s="10">
        <v>44498.073401510082</v>
      </c>
      <c r="W19" s="10">
        <v>19541.168630599979</v>
      </c>
      <c r="X19" s="10">
        <v>499135021056</v>
      </c>
      <c r="Y19" s="10">
        <v>25542742</v>
      </c>
      <c r="Z19" s="10">
        <v>19800000</v>
      </c>
      <c r="AA19" s="10">
        <v>2128561.833333333</v>
      </c>
    </row>
    <row r="20" spans="1:27" x14ac:dyDescent="0.3">
      <c r="A20" s="9" t="s">
        <v>25</v>
      </c>
      <c r="B20" s="10">
        <v>1226916083</v>
      </c>
      <c r="C20" s="10">
        <v>32</v>
      </c>
      <c r="D20" s="10">
        <v>38341127.59375</v>
      </c>
      <c r="E20" s="10">
        <v>6880</v>
      </c>
      <c r="F20" s="10">
        <v>5298</v>
      </c>
      <c r="G20" s="10">
        <v>1582</v>
      </c>
      <c r="H20" s="10">
        <v>0.77005813953488367</v>
      </c>
      <c r="I20" s="10">
        <v>0.2299418604651163</v>
      </c>
      <c r="J20" s="10">
        <v>1020</v>
      </c>
      <c r="K20" s="10">
        <v>0.14825581395348841</v>
      </c>
      <c r="L20" s="10">
        <v>2</v>
      </c>
      <c r="M20" s="10">
        <v>2.9069767441860459E-4</v>
      </c>
      <c r="N20" s="10">
        <v>3549</v>
      </c>
      <c r="O20" s="10">
        <v>0.51584302325581399</v>
      </c>
      <c r="P20" s="10">
        <v>2309</v>
      </c>
      <c r="Q20" s="10">
        <v>0.33561046511627912</v>
      </c>
      <c r="R20" s="10">
        <v>178330.8260174419</v>
      </c>
      <c r="S20" s="10">
        <v>53935.54109589041</v>
      </c>
      <c r="T20" s="10">
        <v>32285.222316145391</v>
      </c>
      <c r="U20" s="10">
        <v>81563.8328280641</v>
      </c>
      <c r="V20" s="10">
        <v>52039.719040697673</v>
      </c>
      <c r="W20" s="10">
        <v>8611.7141191959381</v>
      </c>
      <c r="X20" s="10">
        <v>200755527680</v>
      </c>
      <c r="Y20" s="10">
        <v>23311912</v>
      </c>
      <c r="Z20" s="10">
        <v>18600000</v>
      </c>
      <c r="AA20" s="10">
        <v>1942659.333333333</v>
      </c>
    </row>
    <row r="21" spans="1:27" x14ac:dyDescent="0.3">
      <c r="A21" s="9" t="s">
        <v>26</v>
      </c>
      <c r="B21" s="10">
        <v>1596628479</v>
      </c>
      <c r="C21" s="10">
        <v>227</v>
      </c>
      <c r="D21" s="10">
        <v>7033605.6343612336</v>
      </c>
      <c r="E21" s="10">
        <v>17096</v>
      </c>
      <c r="F21" s="10">
        <v>12168</v>
      </c>
      <c r="G21" s="10">
        <v>4928</v>
      </c>
      <c r="H21" s="10">
        <v>0.71174543752924657</v>
      </c>
      <c r="I21" s="10">
        <v>0.28825456247075337</v>
      </c>
      <c r="J21" s="10">
        <v>1774</v>
      </c>
      <c r="K21" s="10">
        <v>0.1037669630322883</v>
      </c>
      <c r="L21" s="10">
        <v>16</v>
      </c>
      <c r="M21" s="10">
        <v>9.3589143659335522E-4</v>
      </c>
      <c r="N21" s="10">
        <v>10033</v>
      </c>
      <c r="O21" s="10">
        <v>0.58686242395882082</v>
      </c>
      <c r="P21" s="10">
        <v>5273</v>
      </c>
      <c r="Q21" s="10">
        <v>0.30843472157229762</v>
      </c>
      <c r="R21" s="10">
        <v>93391.932557323351</v>
      </c>
      <c r="S21" s="10">
        <v>48610.917877094973</v>
      </c>
      <c r="T21" s="10">
        <v>31952.443636001201</v>
      </c>
      <c r="U21" s="10">
        <v>60515.475251280113</v>
      </c>
      <c r="V21" s="10">
        <v>42506.463968179691</v>
      </c>
      <c r="W21" s="10">
        <v>39759.545756340027</v>
      </c>
      <c r="X21" s="10">
        <v>924450881536</v>
      </c>
      <c r="Y21" s="10">
        <v>23251042</v>
      </c>
      <c r="Z21" s="10">
        <v>15600000</v>
      </c>
      <c r="AA21" s="10">
        <v>1937586.833333333</v>
      </c>
    </row>
    <row r="22" spans="1:27" x14ac:dyDescent="0.3">
      <c r="A22" s="9" t="s">
        <v>27</v>
      </c>
      <c r="B22" s="10">
        <v>16290782103</v>
      </c>
      <c r="C22" s="10">
        <v>604</v>
      </c>
      <c r="D22" s="10">
        <v>26971493.54801324</v>
      </c>
      <c r="E22" s="10">
        <v>59219</v>
      </c>
      <c r="F22" s="10">
        <v>40451</v>
      </c>
      <c r="G22" s="10">
        <v>18768</v>
      </c>
      <c r="H22" s="10">
        <v>0.68307468886674882</v>
      </c>
      <c r="I22" s="10">
        <v>0.31692531113325118</v>
      </c>
      <c r="J22" s="10">
        <v>13240</v>
      </c>
      <c r="K22" s="10">
        <v>0.22357689255137711</v>
      </c>
      <c r="L22" s="10">
        <v>84</v>
      </c>
      <c r="M22" s="10">
        <v>1.4184636687549601E-3</v>
      </c>
      <c r="N22" s="10">
        <v>30963</v>
      </c>
      <c r="O22" s="10">
        <v>0.52285584018642661</v>
      </c>
      <c r="P22" s="10">
        <v>14932</v>
      </c>
      <c r="Q22" s="10">
        <v>0.25214880359344127</v>
      </c>
      <c r="R22" s="10">
        <v>275093.83986558369</v>
      </c>
      <c r="S22" s="10">
        <v>86759.307039927953</v>
      </c>
      <c r="T22" s="10">
        <v>44423.300778348348</v>
      </c>
      <c r="U22" s="10">
        <v>79599.441066166619</v>
      </c>
      <c r="V22" s="10">
        <v>62818.327276718621</v>
      </c>
      <c r="W22" s="10">
        <v>29384.831278324131</v>
      </c>
      <c r="X22" s="10">
        <v>842796105728</v>
      </c>
      <c r="Y22" s="10">
        <v>28681332</v>
      </c>
      <c r="Z22" s="10">
        <v>17760000</v>
      </c>
      <c r="AA22" s="10">
        <v>2390111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1. Resumen Ejecutivo</vt:lpstr>
      <vt:lpstr>2. Género</vt:lpstr>
      <vt:lpstr>3. Tipo de Trabajador</vt:lpstr>
      <vt:lpstr>4. Salarios por Categoría</vt:lpstr>
      <vt:lpstr>5. EAM vs GEIH</vt:lpstr>
      <vt:lpstr>6. Productividad</vt:lpstr>
      <vt:lpstr>0. Datos Originales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Doris Adriana Osorio Barrios</cp:lastModifiedBy>
  <dcterms:created xsi:type="dcterms:W3CDTF">2026-04-27T00:35:41Z</dcterms:created>
  <dcterms:modified xsi:type="dcterms:W3CDTF">2026-04-27T00:37:37Z</dcterms:modified>
</cp:coreProperties>
</file>