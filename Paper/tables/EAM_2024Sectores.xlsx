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Outputs\tables\"/>
    </mc:Choice>
  </mc:AlternateContent>
  <xr:revisionPtr revIDLastSave="0" documentId="13_ncr:1_{662A788F-2946-41E8-BF20-169930698E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 1" sheetId="1" r:id="rId1"/>
    <sheet name="Estructurad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2" l="1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Q16" i="2" s="1"/>
  <c r="E17" i="2"/>
  <c r="E18" i="2"/>
  <c r="E19" i="2"/>
  <c r="E20" i="2"/>
  <c r="E21" i="2"/>
  <c r="E22" i="2"/>
  <c r="E23" i="2"/>
  <c r="E3" i="2"/>
  <c r="C4" i="2"/>
  <c r="C5" i="2"/>
  <c r="C6" i="2"/>
  <c r="D6" i="2" s="1"/>
  <c r="C7" i="2"/>
  <c r="C8" i="2"/>
  <c r="C9" i="2"/>
  <c r="C10" i="2"/>
  <c r="C11" i="2"/>
  <c r="C12" i="2"/>
  <c r="C13" i="2"/>
  <c r="C14" i="2"/>
  <c r="C15" i="2"/>
  <c r="C16" i="2"/>
  <c r="D16" i="2" s="1"/>
  <c r="C17" i="2"/>
  <c r="C18" i="2"/>
  <c r="C19" i="2"/>
  <c r="C20" i="2"/>
  <c r="C21" i="2"/>
  <c r="C22" i="2"/>
  <c r="C23" i="2"/>
  <c r="C3" i="2"/>
  <c r="B4" i="2"/>
  <c r="B5" i="2"/>
  <c r="B6" i="2"/>
  <c r="B7" i="2"/>
  <c r="B8" i="2"/>
  <c r="R8" i="2" s="1"/>
  <c r="B9" i="2"/>
  <c r="R9" i="2" s="1"/>
  <c r="B10" i="2"/>
  <c r="D10" i="2" s="1"/>
  <c r="B11" i="2"/>
  <c r="B12" i="2"/>
  <c r="B13" i="2"/>
  <c r="B14" i="2"/>
  <c r="B15" i="2"/>
  <c r="B16" i="2"/>
  <c r="B17" i="2"/>
  <c r="B18" i="2"/>
  <c r="B19" i="2"/>
  <c r="B20" i="2"/>
  <c r="R20" i="2" s="1"/>
  <c r="B21" i="2"/>
  <c r="R21" i="2" s="1"/>
  <c r="B22" i="2"/>
  <c r="R22" i="2" s="1"/>
  <c r="B23" i="2"/>
  <c r="B3" i="2"/>
  <c r="P4" i="2"/>
  <c r="U4" i="2" s="1"/>
  <c r="P5" i="2"/>
  <c r="U5" i="2" s="1"/>
  <c r="P6" i="2"/>
  <c r="U6" i="2" s="1"/>
  <c r="P7" i="2"/>
  <c r="U7" i="2" s="1"/>
  <c r="P8" i="2"/>
  <c r="P9" i="2"/>
  <c r="P10" i="2"/>
  <c r="Q10" i="2" s="1"/>
  <c r="P11" i="2"/>
  <c r="Q11" i="2" s="1"/>
  <c r="P12" i="2"/>
  <c r="Q12" i="2" s="1"/>
  <c r="P13" i="2"/>
  <c r="U13" i="2" s="1"/>
  <c r="P14" i="2"/>
  <c r="U14" i="2" s="1"/>
  <c r="P15" i="2"/>
  <c r="U15" i="2" s="1"/>
  <c r="P16" i="2"/>
  <c r="U16" i="2" s="1"/>
  <c r="P17" i="2"/>
  <c r="U17" i="2" s="1"/>
  <c r="P18" i="2"/>
  <c r="U18" i="2" s="1"/>
  <c r="P19" i="2"/>
  <c r="U19" i="2" s="1"/>
  <c r="P20" i="2"/>
  <c r="U20" i="2" s="1"/>
  <c r="P21" i="2"/>
  <c r="U21" i="2" s="1"/>
  <c r="P22" i="2"/>
  <c r="U22" i="2" s="1"/>
  <c r="P23" i="2"/>
  <c r="Q23" i="2" s="1"/>
  <c r="N4" i="2"/>
  <c r="T4" i="2" s="1"/>
  <c r="N5" i="2"/>
  <c r="T5" i="2" s="1"/>
  <c r="N6" i="2"/>
  <c r="T6" i="2" s="1"/>
  <c r="N7" i="2"/>
  <c r="O7" i="2" s="1"/>
  <c r="N8" i="2"/>
  <c r="T8" i="2" s="1"/>
  <c r="N9" i="2"/>
  <c r="T9" i="2" s="1"/>
  <c r="N10" i="2"/>
  <c r="T10" i="2" s="1"/>
  <c r="N11" i="2"/>
  <c r="T11" i="2" s="1"/>
  <c r="N12" i="2"/>
  <c r="T12" i="2" s="1"/>
  <c r="N13" i="2"/>
  <c r="T13" i="2" s="1"/>
  <c r="N14" i="2"/>
  <c r="T14" i="2" s="1"/>
  <c r="N15" i="2"/>
  <c r="T15" i="2" s="1"/>
  <c r="N16" i="2"/>
  <c r="T16" i="2" s="1"/>
  <c r="N17" i="2"/>
  <c r="T17" i="2" s="1"/>
  <c r="N18" i="2"/>
  <c r="T18" i="2" s="1"/>
  <c r="N19" i="2"/>
  <c r="O19" i="2" s="1"/>
  <c r="N20" i="2"/>
  <c r="T20" i="2" s="1"/>
  <c r="N21" i="2"/>
  <c r="T21" i="2" s="1"/>
  <c r="N22" i="2"/>
  <c r="T22" i="2" s="1"/>
  <c r="N23" i="2"/>
  <c r="T23" i="2" s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M23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G4" i="2"/>
  <c r="G5" i="2"/>
  <c r="G6" i="2"/>
  <c r="G7" i="2"/>
  <c r="I7" i="2" s="1"/>
  <c r="G8" i="2"/>
  <c r="G9" i="2"/>
  <c r="G10" i="2"/>
  <c r="G11" i="2"/>
  <c r="G12" i="2"/>
  <c r="G13" i="2"/>
  <c r="G14" i="2"/>
  <c r="G15" i="2"/>
  <c r="G16" i="2"/>
  <c r="G17" i="2"/>
  <c r="G18" i="2"/>
  <c r="G19" i="2"/>
  <c r="I19" i="2" s="1"/>
  <c r="G20" i="2"/>
  <c r="G21" i="2"/>
  <c r="G22" i="2"/>
  <c r="G2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A23" i="2"/>
  <c r="A22" i="2"/>
  <c r="A21" i="2"/>
  <c r="A20" i="2"/>
  <c r="A19" i="2"/>
  <c r="A18" i="2"/>
  <c r="A17" i="2"/>
  <c r="A5" i="2"/>
  <c r="A6" i="2"/>
  <c r="A7" i="2"/>
  <c r="A8" i="2"/>
  <c r="A9" i="2"/>
  <c r="A10" i="2"/>
  <c r="A11" i="2"/>
  <c r="A12" i="2"/>
  <c r="A13" i="2"/>
  <c r="A14" i="2"/>
  <c r="A15" i="2"/>
  <c r="A16" i="2"/>
  <c r="A4" i="2"/>
  <c r="P3" i="2"/>
  <c r="U3" i="2" s="1"/>
  <c r="N3" i="2"/>
  <c r="T3" i="2" s="1"/>
  <c r="L3" i="2"/>
  <c r="J3" i="2"/>
  <c r="G3" i="2"/>
  <c r="F3" i="2"/>
  <c r="A3" i="2"/>
  <c r="R6" i="2" l="1"/>
  <c r="Q18" i="2"/>
  <c r="O4" i="2"/>
  <c r="O17" i="2"/>
  <c r="M17" i="2"/>
  <c r="M5" i="2"/>
  <c r="S20" i="2"/>
  <c r="S8" i="2"/>
  <c r="S7" i="2"/>
  <c r="S12" i="2"/>
  <c r="D19" i="2"/>
  <c r="D7" i="2"/>
  <c r="S18" i="2"/>
  <c r="S6" i="2"/>
  <c r="Q9" i="2"/>
  <c r="Q5" i="2"/>
  <c r="Q8" i="2"/>
  <c r="Q4" i="2"/>
  <c r="R16" i="2"/>
  <c r="S3" i="2"/>
  <c r="M16" i="2"/>
  <c r="I16" i="2"/>
  <c r="I4" i="2"/>
  <c r="M4" i="2"/>
  <c r="M19" i="2"/>
  <c r="M7" i="2"/>
  <c r="O16" i="2"/>
  <c r="R3" i="2"/>
  <c r="R12" i="2"/>
  <c r="O6" i="2"/>
  <c r="S22" i="2"/>
  <c r="S10" i="2"/>
  <c r="O18" i="2"/>
  <c r="R23" i="2"/>
  <c r="D11" i="2"/>
  <c r="Q17" i="2"/>
  <c r="O5" i="2"/>
  <c r="D18" i="2"/>
  <c r="S4" i="2"/>
  <c r="H11" i="2"/>
  <c r="S21" i="2"/>
  <c r="S9" i="2"/>
  <c r="R10" i="2"/>
  <c r="S19" i="2"/>
  <c r="I15" i="2"/>
  <c r="R11" i="2"/>
  <c r="S5" i="2"/>
  <c r="S23" i="2"/>
  <c r="I18" i="2"/>
  <c r="S14" i="2"/>
  <c r="S17" i="2"/>
  <c r="S16" i="2"/>
  <c r="S15" i="2"/>
  <c r="S11" i="2"/>
  <c r="I17" i="2"/>
  <c r="S13" i="2"/>
  <c r="M14" i="2"/>
  <c r="O12" i="2"/>
  <c r="U12" i="2"/>
  <c r="D17" i="2"/>
  <c r="D5" i="2"/>
  <c r="H23" i="2"/>
  <c r="U11" i="2"/>
  <c r="H18" i="2"/>
  <c r="H6" i="2"/>
  <c r="D4" i="2"/>
  <c r="Q22" i="2"/>
  <c r="R19" i="2"/>
  <c r="R7" i="2"/>
  <c r="U10" i="2"/>
  <c r="K10" i="2"/>
  <c r="H5" i="2"/>
  <c r="R18" i="2"/>
  <c r="U9" i="2"/>
  <c r="H16" i="2"/>
  <c r="H4" i="2"/>
  <c r="D23" i="2"/>
  <c r="Q20" i="2"/>
  <c r="R17" i="2"/>
  <c r="R5" i="2"/>
  <c r="U8" i="2"/>
  <c r="M11" i="2"/>
  <c r="U23" i="2"/>
  <c r="H17" i="2"/>
  <c r="Q21" i="2"/>
  <c r="R4" i="2"/>
  <c r="D9" i="2"/>
  <c r="R15" i="2"/>
  <c r="M13" i="2"/>
  <c r="R14" i="2"/>
  <c r="D8" i="2"/>
  <c r="R13" i="2"/>
  <c r="T19" i="2"/>
  <c r="T7" i="2"/>
  <c r="M12" i="2"/>
  <c r="I12" i="2"/>
  <c r="K15" i="2"/>
  <c r="O15" i="2"/>
  <c r="H15" i="2"/>
  <c r="I23" i="2"/>
  <c r="I11" i="2"/>
  <c r="I6" i="2"/>
  <c r="K14" i="2"/>
  <c r="O23" i="2"/>
  <c r="O11" i="2"/>
  <c r="O14" i="2"/>
  <c r="Q6" i="2"/>
  <c r="H14" i="2"/>
  <c r="I22" i="2"/>
  <c r="I10" i="2"/>
  <c r="I5" i="2"/>
  <c r="K13" i="2"/>
  <c r="O22" i="2"/>
  <c r="O10" i="2"/>
  <c r="O13" i="2"/>
  <c r="M15" i="2"/>
  <c r="I13" i="2"/>
  <c r="H12" i="2"/>
  <c r="I20" i="2"/>
  <c r="I8" i="2"/>
  <c r="K23" i="2"/>
  <c r="K11" i="2"/>
  <c r="O20" i="2"/>
  <c r="O8" i="2"/>
  <c r="Q14" i="2"/>
  <c r="I14" i="2"/>
  <c r="H13" i="2"/>
  <c r="I21" i="2"/>
  <c r="I9" i="2"/>
  <c r="K12" i="2"/>
  <c r="O21" i="2"/>
  <c r="O9" i="2"/>
  <c r="Q15" i="2"/>
  <c r="M18" i="2"/>
  <c r="M6" i="2"/>
  <c r="Q13" i="2"/>
  <c r="D14" i="2"/>
  <c r="D13" i="2"/>
  <c r="D22" i="2"/>
  <c r="D21" i="2"/>
  <c r="D20" i="2"/>
  <c r="D12" i="2"/>
  <c r="D15" i="2"/>
  <c r="H19" i="2"/>
  <c r="H7" i="2"/>
  <c r="K19" i="2"/>
  <c r="K7" i="2"/>
  <c r="Q7" i="2"/>
  <c r="K18" i="2"/>
  <c r="K6" i="2"/>
  <c r="M22" i="2"/>
  <c r="M10" i="2"/>
  <c r="H3" i="2"/>
  <c r="K17" i="2"/>
  <c r="K5" i="2"/>
  <c r="M21" i="2"/>
  <c r="M9" i="2"/>
  <c r="I3" i="2"/>
  <c r="K16" i="2"/>
  <c r="K4" i="2"/>
  <c r="M20" i="2"/>
  <c r="M8" i="2"/>
  <c r="K3" i="2"/>
  <c r="M3" i="2"/>
  <c r="O3" i="2"/>
  <c r="Q3" i="2"/>
  <c r="H21" i="2"/>
  <c r="H9" i="2"/>
  <c r="K21" i="2"/>
  <c r="K9" i="2"/>
  <c r="H20" i="2"/>
  <c r="H8" i="2"/>
  <c r="K20" i="2"/>
  <c r="K8" i="2"/>
  <c r="Q19" i="2"/>
  <c r="H22" i="2"/>
  <c r="H10" i="2"/>
  <c r="K22" i="2"/>
  <c r="D3" i="2"/>
</calcChain>
</file>

<file path=xl/sharedStrings.xml><?xml version="1.0" encoding="utf-8"?>
<sst xmlns="http://schemas.openxmlformats.org/spreadsheetml/2006/main" count="105" uniqueCount="99">
  <si>
    <t>CIIU</t>
  </si>
  <si>
    <t>Sector</t>
  </si>
  <si>
    <t>Nac_Mujeres_Cat1</t>
  </si>
  <si>
    <t>Nac_Hombres_Cat1</t>
  </si>
  <si>
    <t>Ex_Mujeres_Cat1</t>
  </si>
  <si>
    <t>Ex_Hombres_Cat1</t>
  </si>
  <si>
    <t>Mujeres_Cat2</t>
  </si>
  <si>
    <t>Hombres_Cat2</t>
  </si>
  <si>
    <t>Mujeres_Cat3</t>
  </si>
  <si>
    <t>Hombres_Cat3</t>
  </si>
  <si>
    <t>Ocu_Mujeres</t>
  </si>
  <si>
    <t>Ocu_Hombres</t>
  </si>
  <si>
    <t>PERMA_Sueldos_Cat1</t>
  </si>
  <si>
    <t>PERMA_Sueldos_Cat2</t>
  </si>
  <si>
    <t>PERMA_Sueldos_Cat3</t>
  </si>
  <si>
    <t>PERMA_Sueldos</t>
  </si>
  <si>
    <t>PERMA_Prestaciones_Cat1</t>
  </si>
  <si>
    <t>PERMA_Prestaciones_Cat2</t>
  </si>
  <si>
    <t>PERMA_Prestaciones_Cat3</t>
  </si>
  <si>
    <t>PERMA_Prestaciones</t>
  </si>
  <si>
    <t>TEMP_SueldosPresta_Cat1</t>
  </si>
  <si>
    <t>TEMP_SueldosPresta_Cat2</t>
  </si>
  <si>
    <t>TEMP_SueldosPresta_Cat3</t>
  </si>
  <si>
    <t>TEMP_SueldosPresta</t>
  </si>
  <si>
    <t>ValorAgregado</t>
  </si>
  <si>
    <t>PERTOTAL</t>
  </si>
  <si>
    <t>#Establecimientos</t>
  </si>
  <si>
    <t>#Empresas</t>
  </si>
  <si>
    <t>10</t>
  </si>
  <si>
    <t>Elaboración de productos alimenticios</t>
  </si>
  <si>
    <t>11</t>
  </si>
  <si>
    <t>Elaboración de bebidas</t>
  </si>
  <si>
    <t>13</t>
  </si>
  <si>
    <t>Fabricación de productos textiles</t>
  </si>
  <si>
    <t>14</t>
  </si>
  <si>
    <t>Confección de prendas de vestir</t>
  </si>
  <si>
    <t>15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</si>
  <si>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</si>
  <si>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16</t>
  </si>
  <si>
    <t>Transformación de la madera y fabricación de productos de madera y de corcho, excepto muebles; fabricación de artículos de cestería y espartería</t>
  </si>
  <si>
    <t>17</t>
  </si>
  <si>
    <t>Fabricación de papel, cartón y productos de papel y cartón</t>
  </si>
  <si>
    <t>18</t>
  </si>
  <si>
    <t>Actividades de impresión y de producción de copias a partir de grabaciones originales</t>
  </si>
  <si>
    <t>19</t>
  </si>
  <si>
    <t>Coquización, fabricación de productos de la refinación del petróleo y actividad de mezcla de combustibles</t>
  </si>
  <si>
    <t>20</t>
  </si>
  <si>
    <t>Fabricación de sustancias y productos químicos</t>
  </si>
  <si>
    <t>21</t>
  </si>
  <si>
    <t>Fabricación de productos farmacéuticos, sustancias químicas medicinales y productos botánicos de uso farmacéutico</t>
  </si>
  <si>
    <t>22</t>
  </si>
  <si>
    <t>Fabricación de productos de caucho y de plástico</t>
  </si>
  <si>
    <t>23</t>
  </si>
  <si>
    <t>Fabricación de otros productos minerales no metálicos</t>
  </si>
  <si>
    <t>24</t>
  </si>
  <si>
    <t>Fabricación de productos metalúrgicos básicos</t>
  </si>
  <si>
    <t>25</t>
  </si>
  <si>
    <t>Fabricación de productos elaborados de metal, excepto maquinaria y equipo</t>
  </si>
  <si>
    <t>27</t>
  </si>
  <si>
    <t>Fabricación de aparatos y equipo eléctrico</t>
  </si>
  <si>
    <t>28</t>
  </si>
  <si>
    <t>Fabricación de maquinaria y equipo n.c.p.</t>
  </si>
  <si>
    <t>29</t>
  </si>
  <si>
    <t>Fabricación de vehículos automotores, remolques y semirremolques</t>
  </si>
  <si>
    <t>30</t>
  </si>
  <si>
    <t>Fabricación de otros tipos de equipo de transporte</t>
  </si>
  <si>
    <t>31</t>
  </si>
  <si>
    <t>Fabricación de muebles, colchones y somieres</t>
  </si>
  <si>
    <t>32</t>
  </si>
  <si>
    <t>Otras industrias manufactureras</t>
  </si>
  <si>
    <t>Personal_Total</t>
  </si>
  <si>
    <t>Hombres</t>
  </si>
  <si>
    <t>Mujeres</t>
  </si>
  <si>
    <t>ValorAgregado/#Establecimientos</t>
  </si>
  <si>
    <t>% Hombres</t>
  </si>
  <si>
    <t>% Mujeres</t>
  </si>
  <si>
    <t>%</t>
  </si>
  <si>
    <t>Nac_Profesionales_Tecnicos_Tecnologo</t>
  </si>
  <si>
    <t>Ex_Profesionales_Tecnicos_Tecnologo</t>
  </si>
  <si>
    <t>Nac_Obreros_Operarios</t>
  </si>
  <si>
    <t>Nac_Directivos_Admin_Ventas</t>
  </si>
  <si>
    <t>PERTEMP</t>
  </si>
  <si>
    <t>PERPERMA</t>
  </si>
  <si>
    <t>Productividad</t>
  </si>
  <si>
    <t>TotalMoney_Cat1</t>
  </si>
  <si>
    <t>TotalMoney_Cat2</t>
  </si>
  <si>
    <t>TotalMoney_Cat3</t>
  </si>
  <si>
    <t>TotalMoney</t>
  </si>
  <si>
    <t>Money_Profesional_Tecnico_Tecnologo</t>
  </si>
  <si>
    <t>Money_Obrero_Operario</t>
  </si>
  <si>
    <t>Money_Directivos_Admin_Ventas</t>
  </si>
  <si>
    <t>MoneyPorTrabajador</t>
  </si>
  <si>
    <t>EAM</t>
  </si>
  <si>
    <t>Trabajadores</t>
  </si>
  <si>
    <t>Promedio</t>
  </si>
  <si>
    <t>Mediana</t>
  </si>
  <si>
    <t>IngresoTotal</t>
  </si>
  <si>
    <t>GEIH</t>
  </si>
  <si>
    <t>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</si>
</sst>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0.0%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wrapText="1"/>
    </xf>
    <xf numFmtId="165" fontId="0" fillId="0" borderId="0" xfId="0" applyNumberFormat="1"/>
    <xf numFmtId="9" fontId="0" fillId="0" borderId="0" xfId="2" applyFont="1"/>
    <xf numFmtId="9" fontId="0" fillId="0" borderId="0" xfId="2" applyFont="1" applyAlignment="1">
      <alignment wrapText="1"/>
    </xf>
    <xf numFmtId="166" fontId="0" fillId="0" borderId="0" xfId="2" applyNumberFormat="1" applyFont="1"/>
    <xf numFmtId="0" fontId="0" fillId="0" borderId="0" xfId="0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"/>
  <sheetViews>
    <sheetView workbookViewId="0">
      <selection activeCell="A2" sqref="A2:A22"/>
    </sheetView>
  </sheetViews>
  <sheetFormatPr baseColWidth="10"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84</v>
      </c>
      <c r="Z1" t="s">
        <v>85</v>
      </c>
      <c r="AA1" t="s">
        <v>86</v>
      </c>
      <c r="AB1" t="s">
        <v>87</v>
      </c>
      <c r="AC1" t="s">
        <v>24</v>
      </c>
      <c r="AD1" t="s">
        <v>25</v>
      </c>
      <c r="AE1" t="s">
        <v>81</v>
      </c>
      <c r="AF1" t="s">
        <v>82</v>
      </c>
      <c r="AG1" t="s">
        <v>26</v>
      </c>
      <c r="AH1" t="s">
        <v>27</v>
      </c>
    </row>
    <row r="2" spans="1:34" x14ac:dyDescent="0.3">
      <c r="A2" t="s">
        <v>28</v>
      </c>
      <c r="B2" t="s">
        <v>29</v>
      </c>
      <c r="C2">
        <v>7810</v>
      </c>
      <c r="D2">
        <v>17012</v>
      </c>
      <c r="E2">
        <v>73</v>
      </c>
      <c r="F2">
        <v>95</v>
      </c>
      <c r="G2">
        <v>28624</v>
      </c>
      <c r="H2">
        <v>81133</v>
      </c>
      <c r="I2">
        <v>25669</v>
      </c>
      <c r="J2">
        <v>24508</v>
      </c>
      <c r="K2">
        <v>62176</v>
      </c>
      <c r="L2">
        <v>122748</v>
      </c>
      <c r="M2">
        <v>666203865</v>
      </c>
      <c r="N2">
        <v>1626948308</v>
      </c>
      <c r="O2">
        <v>1753081231</v>
      </c>
      <c r="P2">
        <v>4046233404</v>
      </c>
      <c r="Q2">
        <v>182039013</v>
      </c>
      <c r="R2">
        <v>462103238</v>
      </c>
      <c r="S2">
        <v>445367422</v>
      </c>
      <c r="T2">
        <v>1089509658</v>
      </c>
      <c r="U2">
        <v>174706171</v>
      </c>
      <c r="V2">
        <v>684324531</v>
      </c>
      <c r="W2">
        <v>326510345</v>
      </c>
      <c r="X2">
        <v>1185541040</v>
      </c>
      <c r="Y2">
        <v>1455820472</v>
      </c>
      <c r="Z2">
        <v>4280014265</v>
      </c>
      <c r="AA2">
        <v>3494251060</v>
      </c>
      <c r="AB2">
        <v>9230085795</v>
      </c>
      <c r="AC2">
        <v>41513051405</v>
      </c>
      <c r="AD2">
        <v>184924</v>
      </c>
      <c r="AE2">
        <v>45732</v>
      </c>
      <c r="AF2">
        <v>107434</v>
      </c>
      <c r="AG2">
        <v>1287</v>
      </c>
      <c r="AH2">
        <v>1153</v>
      </c>
    </row>
    <row r="3" spans="1:34" x14ac:dyDescent="0.3">
      <c r="A3" t="s">
        <v>30</v>
      </c>
      <c r="B3" t="s">
        <v>31</v>
      </c>
      <c r="C3">
        <v>376</v>
      </c>
      <c r="D3">
        <v>1009</v>
      </c>
      <c r="E3">
        <v>0</v>
      </c>
      <c r="F3">
        <v>11</v>
      </c>
      <c r="G3">
        <v>586</v>
      </c>
      <c r="H3">
        <v>3830</v>
      </c>
      <c r="I3">
        <v>2159</v>
      </c>
      <c r="J3">
        <v>4606</v>
      </c>
      <c r="K3">
        <v>3121</v>
      </c>
      <c r="L3">
        <v>9456</v>
      </c>
      <c r="M3">
        <v>70008149</v>
      </c>
      <c r="N3">
        <v>80462798</v>
      </c>
      <c r="O3">
        <v>144772180</v>
      </c>
      <c r="P3">
        <v>295243118</v>
      </c>
      <c r="Q3">
        <v>23721233</v>
      </c>
      <c r="R3">
        <v>33423598</v>
      </c>
      <c r="S3">
        <v>42135520</v>
      </c>
      <c r="T3">
        <v>99280351</v>
      </c>
      <c r="U3">
        <v>18945680</v>
      </c>
      <c r="V3">
        <v>45607773</v>
      </c>
      <c r="W3">
        <v>131010332</v>
      </c>
      <c r="X3">
        <v>195563788</v>
      </c>
      <c r="Y3">
        <v>159959973</v>
      </c>
      <c r="Z3">
        <v>265069555</v>
      </c>
      <c r="AA3">
        <v>529667612</v>
      </c>
      <c r="AB3">
        <v>954697140</v>
      </c>
      <c r="AC3">
        <v>7916248241</v>
      </c>
      <c r="AD3">
        <v>12577</v>
      </c>
      <c r="AE3">
        <v>5118</v>
      </c>
      <c r="AF3">
        <v>4915</v>
      </c>
      <c r="AG3">
        <v>53</v>
      </c>
      <c r="AH3">
        <v>39</v>
      </c>
    </row>
    <row r="4" spans="1:34" x14ac:dyDescent="0.3">
      <c r="A4" t="s">
        <v>32</v>
      </c>
      <c r="B4" t="s">
        <v>33</v>
      </c>
      <c r="C4">
        <v>939</v>
      </c>
      <c r="D4">
        <v>2520</v>
      </c>
      <c r="E4">
        <v>5</v>
      </c>
      <c r="F4">
        <v>8</v>
      </c>
      <c r="G4">
        <v>6064</v>
      </c>
      <c r="H4">
        <v>12549</v>
      </c>
      <c r="I4">
        <v>2931</v>
      </c>
      <c r="J4">
        <v>2862</v>
      </c>
      <c r="K4">
        <v>9939</v>
      </c>
      <c r="L4">
        <v>17939</v>
      </c>
      <c r="M4">
        <v>68204260</v>
      </c>
      <c r="N4">
        <v>168162334</v>
      </c>
      <c r="O4">
        <v>164700911</v>
      </c>
      <c r="P4">
        <v>401067514</v>
      </c>
      <c r="Q4">
        <v>16138761</v>
      </c>
      <c r="R4">
        <v>42633016</v>
      </c>
      <c r="S4">
        <v>38173907</v>
      </c>
      <c r="T4">
        <v>96945675</v>
      </c>
      <c r="U4">
        <v>54220695</v>
      </c>
      <c r="V4">
        <v>145637473</v>
      </c>
      <c r="W4">
        <v>107012551</v>
      </c>
      <c r="X4">
        <v>306870719</v>
      </c>
      <c r="Y4">
        <v>204617184</v>
      </c>
      <c r="Z4">
        <v>605563805</v>
      </c>
      <c r="AA4">
        <v>449460140</v>
      </c>
      <c r="AB4">
        <v>1259641132</v>
      </c>
      <c r="AC4">
        <v>2657337121</v>
      </c>
      <c r="AD4">
        <v>27878</v>
      </c>
      <c r="AE4">
        <v>10612</v>
      </c>
      <c r="AF4">
        <v>11510</v>
      </c>
      <c r="AG4">
        <v>199</v>
      </c>
      <c r="AH4">
        <v>198</v>
      </c>
    </row>
    <row r="5" spans="1:34" x14ac:dyDescent="0.3">
      <c r="A5" t="s">
        <v>34</v>
      </c>
      <c r="B5" t="s">
        <v>35</v>
      </c>
      <c r="C5">
        <v>3675</v>
      </c>
      <c r="D5">
        <v>3030</v>
      </c>
      <c r="E5">
        <v>48</v>
      </c>
      <c r="F5">
        <v>64</v>
      </c>
      <c r="G5">
        <v>30924</v>
      </c>
      <c r="H5">
        <v>12166</v>
      </c>
      <c r="I5">
        <v>10687</v>
      </c>
      <c r="J5">
        <v>5420</v>
      </c>
      <c r="K5">
        <v>45334</v>
      </c>
      <c r="L5">
        <v>20680</v>
      </c>
      <c r="M5">
        <v>154588681</v>
      </c>
      <c r="N5">
        <v>406261702</v>
      </c>
      <c r="O5">
        <v>490202283</v>
      </c>
      <c r="P5">
        <v>1051052672</v>
      </c>
      <c r="Q5">
        <v>35694518</v>
      </c>
      <c r="R5">
        <v>96028647</v>
      </c>
      <c r="S5">
        <v>113500636</v>
      </c>
      <c r="T5">
        <v>245223801</v>
      </c>
      <c r="U5">
        <v>47208514</v>
      </c>
      <c r="V5">
        <v>325803670</v>
      </c>
      <c r="W5">
        <v>98806054</v>
      </c>
      <c r="X5">
        <v>471818238</v>
      </c>
      <c r="Y5">
        <v>340811033</v>
      </c>
      <c r="Z5">
        <v>1233489109</v>
      </c>
      <c r="AA5">
        <v>952960552</v>
      </c>
      <c r="AB5">
        <v>2527260694</v>
      </c>
      <c r="AC5">
        <v>5608420074</v>
      </c>
      <c r="AD5">
        <v>66014</v>
      </c>
      <c r="AE5">
        <v>23659</v>
      </c>
      <c r="AF5">
        <v>36345</v>
      </c>
      <c r="AG5">
        <v>605</v>
      </c>
      <c r="AH5">
        <v>599</v>
      </c>
    </row>
    <row r="6" spans="1:34" x14ac:dyDescent="0.3">
      <c r="A6" t="s">
        <v>36</v>
      </c>
      <c r="B6" t="s">
        <v>37</v>
      </c>
      <c r="C6">
        <v>497</v>
      </c>
      <c r="D6">
        <v>645</v>
      </c>
      <c r="E6">
        <v>9</v>
      </c>
      <c r="F6">
        <v>12</v>
      </c>
      <c r="G6">
        <v>4669</v>
      </c>
      <c r="H6">
        <v>5132</v>
      </c>
      <c r="I6">
        <v>1822</v>
      </c>
      <c r="J6">
        <v>1512</v>
      </c>
      <c r="K6">
        <v>6997</v>
      </c>
      <c r="L6">
        <v>7301</v>
      </c>
      <c r="M6">
        <v>20042725</v>
      </c>
      <c r="N6">
        <v>57323047</v>
      </c>
      <c r="O6">
        <v>99472072</v>
      </c>
      <c r="P6">
        <v>176837832</v>
      </c>
      <c r="Q6">
        <v>5022913</v>
      </c>
      <c r="R6">
        <v>13492527</v>
      </c>
      <c r="S6">
        <v>22951009</v>
      </c>
      <c r="T6">
        <v>41466446</v>
      </c>
      <c r="U6">
        <v>20073100</v>
      </c>
      <c r="V6">
        <v>91589861</v>
      </c>
      <c r="W6">
        <v>24861528</v>
      </c>
      <c r="X6">
        <v>136524489</v>
      </c>
      <c r="Y6">
        <v>69576456</v>
      </c>
      <c r="Z6">
        <v>268611651</v>
      </c>
      <c r="AA6">
        <v>211327960</v>
      </c>
      <c r="AB6">
        <v>549516049</v>
      </c>
      <c r="AC6">
        <v>856536941</v>
      </c>
      <c r="AD6">
        <v>14298</v>
      </c>
      <c r="AE6">
        <v>6827</v>
      </c>
      <c r="AF6">
        <v>5003</v>
      </c>
      <c r="AG6">
        <v>174</v>
      </c>
      <c r="AH6">
        <v>173</v>
      </c>
    </row>
    <row r="7" spans="1:34" x14ac:dyDescent="0.3">
      <c r="A7" t="s">
        <v>38</v>
      </c>
      <c r="B7" t="s">
        <v>39</v>
      </c>
      <c r="C7">
        <v>68</v>
      </c>
      <c r="D7">
        <v>237</v>
      </c>
      <c r="E7">
        <v>0</v>
      </c>
      <c r="F7">
        <v>4</v>
      </c>
      <c r="G7">
        <v>226</v>
      </c>
      <c r="H7">
        <v>2395</v>
      </c>
      <c r="I7">
        <v>401</v>
      </c>
      <c r="J7">
        <v>377</v>
      </c>
      <c r="K7">
        <v>695</v>
      </c>
      <c r="L7">
        <v>3013</v>
      </c>
      <c r="M7">
        <v>12460739</v>
      </c>
      <c r="N7">
        <v>37897206</v>
      </c>
      <c r="O7">
        <v>29092608</v>
      </c>
      <c r="P7">
        <v>79450550</v>
      </c>
      <c r="Q7">
        <v>4688193</v>
      </c>
      <c r="R7">
        <v>9274821</v>
      </c>
      <c r="S7">
        <v>7685882</v>
      </c>
      <c r="T7">
        <v>21648896</v>
      </c>
      <c r="U7">
        <v>317053</v>
      </c>
      <c r="V7">
        <v>8757297</v>
      </c>
      <c r="W7">
        <v>1350414</v>
      </c>
      <c r="X7">
        <v>10424770</v>
      </c>
      <c r="Y7">
        <v>25336868</v>
      </c>
      <c r="Z7">
        <v>79470028</v>
      </c>
      <c r="AA7">
        <v>50458888</v>
      </c>
      <c r="AB7">
        <v>155265784</v>
      </c>
      <c r="AC7">
        <v>364104823</v>
      </c>
      <c r="AD7">
        <v>3708</v>
      </c>
      <c r="AE7">
        <v>534</v>
      </c>
      <c r="AF7">
        <v>2847</v>
      </c>
      <c r="AG7">
        <v>89</v>
      </c>
      <c r="AH7">
        <v>89</v>
      </c>
    </row>
    <row r="8" spans="1:34" x14ac:dyDescent="0.3">
      <c r="A8" t="s">
        <v>40</v>
      </c>
      <c r="B8" t="s">
        <v>41</v>
      </c>
      <c r="C8">
        <v>883</v>
      </c>
      <c r="D8">
        <v>2767</v>
      </c>
      <c r="E8">
        <v>1</v>
      </c>
      <c r="F8">
        <v>11</v>
      </c>
      <c r="G8">
        <v>2432</v>
      </c>
      <c r="H8">
        <v>9705</v>
      </c>
      <c r="I8">
        <v>2559</v>
      </c>
      <c r="J8">
        <v>2289</v>
      </c>
      <c r="K8">
        <v>5875</v>
      </c>
      <c r="L8">
        <v>14772</v>
      </c>
      <c r="M8">
        <v>232651235</v>
      </c>
      <c r="N8">
        <v>276173854</v>
      </c>
      <c r="O8">
        <v>293162412</v>
      </c>
      <c r="P8">
        <v>801987504</v>
      </c>
      <c r="Q8">
        <v>81952888</v>
      </c>
      <c r="R8">
        <v>84695260</v>
      </c>
      <c r="S8">
        <v>83063349</v>
      </c>
      <c r="T8">
        <v>249711497</v>
      </c>
      <c r="U8">
        <v>21803555</v>
      </c>
      <c r="V8">
        <v>61762551</v>
      </c>
      <c r="W8">
        <v>22344864</v>
      </c>
      <c r="X8">
        <v>105910973</v>
      </c>
      <c r="Y8">
        <v>446246240</v>
      </c>
      <c r="Z8">
        <v>589704615</v>
      </c>
      <c r="AA8">
        <v>538646176</v>
      </c>
      <c r="AB8">
        <v>1574597025</v>
      </c>
      <c r="AC8">
        <v>5966261497</v>
      </c>
      <c r="AD8">
        <v>20647</v>
      </c>
      <c r="AE8">
        <v>3617</v>
      </c>
      <c r="AF8">
        <v>15155</v>
      </c>
      <c r="AG8">
        <v>130</v>
      </c>
      <c r="AH8">
        <v>117</v>
      </c>
    </row>
    <row r="9" spans="1:34" x14ac:dyDescent="0.3">
      <c r="A9" t="s">
        <v>42</v>
      </c>
      <c r="B9" t="s">
        <v>43</v>
      </c>
      <c r="C9">
        <v>955</v>
      </c>
      <c r="D9">
        <v>1740</v>
      </c>
      <c r="E9">
        <v>7</v>
      </c>
      <c r="F9">
        <v>13</v>
      </c>
      <c r="G9">
        <v>4237</v>
      </c>
      <c r="H9">
        <v>6659</v>
      </c>
      <c r="I9">
        <v>2327</v>
      </c>
      <c r="J9">
        <v>2021</v>
      </c>
      <c r="K9">
        <v>7526</v>
      </c>
      <c r="L9">
        <v>10433</v>
      </c>
      <c r="M9">
        <v>73792697</v>
      </c>
      <c r="N9">
        <v>156667518</v>
      </c>
      <c r="O9">
        <v>164172625</v>
      </c>
      <c r="P9">
        <v>394632840</v>
      </c>
      <c r="Q9">
        <v>18756177</v>
      </c>
      <c r="R9">
        <v>38105482</v>
      </c>
      <c r="S9">
        <v>40336069</v>
      </c>
      <c r="T9">
        <v>97197722</v>
      </c>
      <c r="U9">
        <v>14342362</v>
      </c>
      <c r="V9">
        <v>52925594</v>
      </c>
      <c r="W9">
        <v>22723157</v>
      </c>
      <c r="X9">
        <v>89991119</v>
      </c>
      <c r="Y9">
        <v>147941262</v>
      </c>
      <c r="Z9">
        <v>374219721</v>
      </c>
      <c r="AA9">
        <v>305066500</v>
      </c>
      <c r="AB9">
        <v>827227483</v>
      </c>
      <c r="AC9">
        <v>2386304024</v>
      </c>
      <c r="AD9">
        <v>17959</v>
      </c>
      <c r="AE9">
        <v>3711</v>
      </c>
      <c r="AF9">
        <v>11614</v>
      </c>
      <c r="AG9">
        <v>298</v>
      </c>
      <c r="AH9">
        <v>294</v>
      </c>
    </row>
    <row r="10" spans="1:34" x14ac:dyDescent="0.3">
      <c r="A10" t="s">
        <v>44</v>
      </c>
      <c r="B10" t="s">
        <v>45</v>
      </c>
      <c r="C10">
        <v>519</v>
      </c>
      <c r="D10">
        <v>1809</v>
      </c>
      <c r="E10">
        <v>1</v>
      </c>
      <c r="F10">
        <v>2</v>
      </c>
      <c r="G10">
        <v>471</v>
      </c>
      <c r="H10">
        <v>2971</v>
      </c>
      <c r="I10">
        <v>751</v>
      </c>
      <c r="J10">
        <v>897</v>
      </c>
      <c r="K10">
        <v>1742</v>
      </c>
      <c r="L10">
        <v>5679</v>
      </c>
      <c r="M10">
        <v>150130600</v>
      </c>
      <c r="N10">
        <v>75390462</v>
      </c>
      <c r="O10">
        <v>96362448</v>
      </c>
      <c r="P10">
        <v>321883511</v>
      </c>
      <c r="Q10">
        <v>82498703</v>
      </c>
      <c r="R10">
        <v>35110933</v>
      </c>
      <c r="S10">
        <v>23267451</v>
      </c>
      <c r="T10">
        <v>140877080</v>
      </c>
      <c r="U10">
        <v>8641682</v>
      </c>
      <c r="V10">
        <v>17257481</v>
      </c>
      <c r="W10">
        <v>14209950</v>
      </c>
      <c r="X10">
        <v>40109113</v>
      </c>
      <c r="Y10">
        <v>359417501</v>
      </c>
      <c r="Z10">
        <v>214370664</v>
      </c>
      <c r="AA10">
        <v>175249908</v>
      </c>
      <c r="AB10">
        <v>749038073</v>
      </c>
      <c r="AC10">
        <v>3819024349</v>
      </c>
      <c r="AD10">
        <v>7421</v>
      </c>
      <c r="AE10">
        <v>1001</v>
      </c>
      <c r="AF10">
        <v>4263</v>
      </c>
      <c r="AG10">
        <v>122</v>
      </c>
      <c r="AH10">
        <v>58</v>
      </c>
    </row>
    <row r="11" spans="1:34" x14ac:dyDescent="0.3">
      <c r="A11" t="s">
        <v>46</v>
      </c>
      <c r="B11" t="s">
        <v>47</v>
      </c>
      <c r="C11">
        <v>3303</v>
      </c>
      <c r="D11">
        <v>6241</v>
      </c>
      <c r="E11">
        <v>31</v>
      </c>
      <c r="F11">
        <v>48</v>
      </c>
      <c r="G11">
        <v>9052</v>
      </c>
      <c r="H11">
        <v>19676</v>
      </c>
      <c r="I11">
        <v>12322</v>
      </c>
      <c r="J11">
        <v>8709</v>
      </c>
      <c r="K11">
        <v>24708</v>
      </c>
      <c r="L11">
        <v>34674</v>
      </c>
      <c r="M11">
        <v>419046593</v>
      </c>
      <c r="N11">
        <v>503759369</v>
      </c>
      <c r="O11">
        <v>1056581256</v>
      </c>
      <c r="P11">
        <v>1979387212</v>
      </c>
      <c r="Q11">
        <v>111426200</v>
      </c>
      <c r="R11">
        <v>142453138</v>
      </c>
      <c r="S11">
        <v>258321755</v>
      </c>
      <c r="T11">
        <v>512201083</v>
      </c>
      <c r="U11">
        <v>23712257</v>
      </c>
      <c r="V11">
        <v>110772691</v>
      </c>
      <c r="W11">
        <v>75096204</v>
      </c>
      <c r="X11">
        <v>209581155</v>
      </c>
      <c r="Y11">
        <v>779875262</v>
      </c>
      <c r="Z11">
        <v>1226606598</v>
      </c>
      <c r="AA11">
        <v>1914898839</v>
      </c>
      <c r="AB11">
        <v>3921380717</v>
      </c>
      <c r="AC11">
        <v>18978868223</v>
      </c>
      <c r="AD11">
        <v>59382</v>
      </c>
      <c r="AE11">
        <v>8480</v>
      </c>
      <c r="AF11">
        <v>39556</v>
      </c>
      <c r="AG11">
        <v>503</v>
      </c>
      <c r="AH11">
        <v>473</v>
      </c>
    </row>
    <row r="12" spans="1:34" x14ac:dyDescent="0.3">
      <c r="A12" t="s">
        <v>48</v>
      </c>
      <c r="B12" t="s">
        <v>49</v>
      </c>
      <c r="C12">
        <v>3676</v>
      </c>
      <c r="D12">
        <v>3780</v>
      </c>
      <c r="E12">
        <v>16</v>
      </c>
      <c r="F12">
        <v>20</v>
      </c>
      <c r="G12">
        <v>7152</v>
      </c>
      <c r="H12">
        <v>6460</v>
      </c>
      <c r="I12">
        <v>6200</v>
      </c>
      <c r="J12">
        <v>3936</v>
      </c>
      <c r="K12">
        <v>17044</v>
      </c>
      <c r="L12">
        <v>14196</v>
      </c>
      <c r="M12">
        <v>306325952</v>
      </c>
      <c r="N12">
        <v>272451483</v>
      </c>
      <c r="O12">
        <v>588541822</v>
      </c>
      <c r="P12">
        <v>1167319260</v>
      </c>
      <c r="Q12">
        <v>74924204</v>
      </c>
      <c r="R12">
        <v>68580677</v>
      </c>
      <c r="S12">
        <v>137427026</v>
      </c>
      <c r="T12">
        <v>280931907</v>
      </c>
      <c r="U12">
        <v>29790067</v>
      </c>
      <c r="V12">
        <v>58234774</v>
      </c>
      <c r="W12">
        <v>26716687</v>
      </c>
      <c r="X12">
        <v>114741528</v>
      </c>
      <c r="Y12">
        <v>572094706</v>
      </c>
      <c r="Z12">
        <v>577044586</v>
      </c>
      <c r="AA12">
        <v>1038250071</v>
      </c>
      <c r="AB12">
        <v>2187389372</v>
      </c>
      <c r="AC12">
        <v>7362333654</v>
      </c>
      <c r="AD12">
        <v>31240</v>
      </c>
      <c r="AE12">
        <v>4036</v>
      </c>
      <c r="AF12">
        <v>23410</v>
      </c>
      <c r="AG12">
        <v>171</v>
      </c>
      <c r="AH12">
        <v>162</v>
      </c>
    </row>
    <row r="13" spans="1:34" x14ac:dyDescent="0.3">
      <c r="A13" t="s">
        <v>50</v>
      </c>
      <c r="B13" t="s">
        <v>51</v>
      </c>
      <c r="C13">
        <v>2566</v>
      </c>
      <c r="D13">
        <v>7082</v>
      </c>
      <c r="E13">
        <v>11</v>
      </c>
      <c r="F13">
        <v>48</v>
      </c>
      <c r="G13">
        <v>12607</v>
      </c>
      <c r="H13">
        <v>26590</v>
      </c>
      <c r="I13">
        <v>7277</v>
      </c>
      <c r="J13">
        <v>6793</v>
      </c>
      <c r="K13">
        <v>22461</v>
      </c>
      <c r="L13">
        <v>40513</v>
      </c>
      <c r="M13">
        <v>286268810</v>
      </c>
      <c r="N13">
        <v>539136525</v>
      </c>
      <c r="O13">
        <v>598153395</v>
      </c>
      <c r="P13">
        <v>1423558736</v>
      </c>
      <c r="Q13">
        <v>67840555</v>
      </c>
      <c r="R13">
        <v>137033967</v>
      </c>
      <c r="S13">
        <v>139473100</v>
      </c>
      <c r="T13">
        <v>344347606</v>
      </c>
      <c r="U13">
        <v>58865935</v>
      </c>
      <c r="V13">
        <v>191437929</v>
      </c>
      <c r="W13">
        <v>85060953</v>
      </c>
      <c r="X13">
        <v>335364823</v>
      </c>
      <c r="Y13">
        <v>585248168</v>
      </c>
      <c r="Z13">
        <v>1409815081</v>
      </c>
      <c r="AA13">
        <v>1111983024</v>
      </c>
      <c r="AB13">
        <v>3107046273</v>
      </c>
      <c r="AC13">
        <v>7989186541</v>
      </c>
      <c r="AD13">
        <v>62974</v>
      </c>
      <c r="AE13">
        <v>12361</v>
      </c>
      <c r="AF13">
        <v>37802</v>
      </c>
      <c r="AG13">
        <v>563</v>
      </c>
      <c r="AH13">
        <v>545</v>
      </c>
    </row>
    <row r="14" spans="1:34" x14ac:dyDescent="0.3">
      <c r="A14" t="s">
        <v>52</v>
      </c>
      <c r="B14" t="s">
        <v>53</v>
      </c>
      <c r="C14">
        <v>883</v>
      </c>
      <c r="D14">
        <v>3713</v>
      </c>
      <c r="E14">
        <v>5</v>
      </c>
      <c r="F14">
        <v>14</v>
      </c>
      <c r="G14">
        <v>1296</v>
      </c>
      <c r="H14">
        <v>26405</v>
      </c>
      <c r="I14">
        <v>3130</v>
      </c>
      <c r="J14">
        <v>3868</v>
      </c>
      <c r="K14">
        <v>5314</v>
      </c>
      <c r="L14">
        <v>34000</v>
      </c>
      <c r="M14">
        <v>187918066</v>
      </c>
      <c r="N14">
        <v>629272758</v>
      </c>
      <c r="O14">
        <v>325528214</v>
      </c>
      <c r="P14">
        <v>1142719032</v>
      </c>
      <c r="Q14">
        <v>58352696</v>
      </c>
      <c r="R14">
        <v>205607920</v>
      </c>
      <c r="S14">
        <v>79929470</v>
      </c>
      <c r="T14">
        <v>343890083</v>
      </c>
      <c r="U14">
        <v>18112262</v>
      </c>
      <c r="V14">
        <v>89434075</v>
      </c>
      <c r="W14">
        <v>31417635</v>
      </c>
      <c r="X14">
        <v>138963972</v>
      </c>
      <c r="Y14">
        <v>371090581</v>
      </c>
      <c r="Z14">
        <v>1311381551</v>
      </c>
      <c r="AA14">
        <v>577968396</v>
      </c>
      <c r="AB14">
        <v>2260440531</v>
      </c>
      <c r="AC14">
        <v>9372191123</v>
      </c>
      <c r="AD14">
        <v>39314</v>
      </c>
      <c r="AE14">
        <v>5431</v>
      </c>
      <c r="AF14">
        <v>29008</v>
      </c>
      <c r="AG14">
        <v>438</v>
      </c>
      <c r="AH14">
        <v>354</v>
      </c>
    </row>
    <row r="15" spans="1:34" x14ac:dyDescent="0.3">
      <c r="A15" t="s">
        <v>54</v>
      </c>
      <c r="B15" t="s">
        <v>55</v>
      </c>
      <c r="C15">
        <v>322</v>
      </c>
      <c r="D15">
        <v>1866</v>
      </c>
      <c r="E15">
        <v>1</v>
      </c>
      <c r="F15">
        <v>26</v>
      </c>
      <c r="G15">
        <v>417</v>
      </c>
      <c r="H15">
        <v>7333</v>
      </c>
      <c r="I15">
        <v>1330</v>
      </c>
      <c r="J15">
        <v>1879</v>
      </c>
      <c r="K15">
        <v>2070</v>
      </c>
      <c r="L15">
        <v>11104</v>
      </c>
      <c r="M15">
        <v>77871371</v>
      </c>
      <c r="N15">
        <v>176875261</v>
      </c>
      <c r="O15">
        <v>180009899</v>
      </c>
      <c r="P15">
        <v>434756534</v>
      </c>
      <c r="Q15">
        <v>20444108</v>
      </c>
      <c r="R15">
        <v>51008786</v>
      </c>
      <c r="S15">
        <v>46848641</v>
      </c>
      <c r="T15">
        <v>118301538</v>
      </c>
      <c r="U15">
        <v>4141121</v>
      </c>
      <c r="V15">
        <v>45152108</v>
      </c>
      <c r="W15">
        <v>7795518</v>
      </c>
      <c r="X15">
        <v>57088747</v>
      </c>
      <c r="Y15">
        <v>147394799</v>
      </c>
      <c r="Z15">
        <v>398842947</v>
      </c>
      <c r="AA15">
        <v>319865515</v>
      </c>
      <c r="AB15">
        <v>866103264</v>
      </c>
      <c r="AC15">
        <v>3706062574</v>
      </c>
      <c r="AD15">
        <v>13174</v>
      </c>
      <c r="AE15">
        <v>1933</v>
      </c>
      <c r="AF15">
        <v>9698</v>
      </c>
      <c r="AG15">
        <v>125</v>
      </c>
      <c r="AH15">
        <v>112</v>
      </c>
    </row>
    <row r="16" spans="1:34" x14ac:dyDescent="0.3">
      <c r="A16" t="s">
        <v>56</v>
      </c>
      <c r="B16" t="s">
        <v>57</v>
      </c>
      <c r="C16">
        <v>913</v>
      </c>
      <c r="D16">
        <v>3549</v>
      </c>
      <c r="E16">
        <v>4</v>
      </c>
      <c r="F16">
        <v>19</v>
      </c>
      <c r="G16">
        <v>2144</v>
      </c>
      <c r="H16">
        <v>19833</v>
      </c>
      <c r="I16">
        <v>3587</v>
      </c>
      <c r="J16">
        <v>4598</v>
      </c>
      <c r="K16">
        <v>6648</v>
      </c>
      <c r="L16">
        <v>27999</v>
      </c>
      <c r="M16">
        <v>103700630</v>
      </c>
      <c r="N16">
        <v>277374230</v>
      </c>
      <c r="O16">
        <v>344985507</v>
      </c>
      <c r="P16">
        <v>726060370</v>
      </c>
      <c r="Q16">
        <v>25867924</v>
      </c>
      <c r="R16">
        <v>68135364</v>
      </c>
      <c r="S16">
        <v>81690924</v>
      </c>
      <c r="T16">
        <v>175694230</v>
      </c>
      <c r="U16">
        <v>39676231</v>
      </c>
      <c r="V16">
        <v>113249473</v>
      </c>
      <c r="W16">
        <v>49743623</v>
      </c>
      <c r="X16">
        <v>202669330</v>
      </c>
      <c r="Y16">
        <v>250828037</v>
      </c>
      <c r="Z16">
        <v>750222470</v>
      </c>
      <c r="AA16">
        <v>641705755</v>
      </c>
      <c r="AB16">
        <v>1642756259</v>
      </c>
      <c r="AC16">
        <v>4039069361</v>
      </c>
      <c r="AD16">
        <v>34647</v>
      </c>
      <c r="AE16">
        <v>7474</v>
      </c>
      <c r="AF16">
        <v>20564</v>
      </c>
      <c r="AG16">
        <v>434</v>
      </c>
      <c r="AH16">
        <v>425</v>
      </c>
    </row>
    <row r="17" spans="1:34" x14ac:dyDescent="0.3">
      <c r="A17" t="s">
        <v>58</v>
      </c>
      <c r="B17" t="s">
        <v>59</v>
      </c>
      <c r="C17">
        <v>898</v>
      </c>
      <c r="D17">
        <v>3020</v>
      </c>
      <c r="E17">
        <v>3</v>
      </c>
      <c r="F17">
        <v>23</v>
      </c>
      <c r="G17">
        <v>2754</v>
      </c>
      <c r="H17">
        <v>9767</v>
      </c>
      <c r="I17">
        <v>2892</v>
      </c>
      <c r="J17">
        <v>4223</v>
      </c>
      <c r="K17">
        <v>6547</v>
      </c>
      <c r="L17">
        <v>17033</v>
      </c>
      <c r="M17">
        <v>146944184</v>
      </c>
      <c r="N17">
        <v>209058687</v>
      </c>
      <c r="O17">
        <v>402549473</v>
      </c>
      <c r="P17">
        <v>758552356</v>
      </c>
      <c r="Q17">
        <v>40652379</v>
      </c>
      <c r="R17">
        <v>68091621</v>
      </c>
      <c r="S17">
        <v>85431932</v>
      </c>
      <c r="T17">
        <v>194175917</v>
      </c>
      <c r="U17">
        <v>21708095</v>
      </c>
      <c r="V17">
        <v>60735441</v>
      </c>
      <c r="W17">
        <v>27792254</v>
      </c>
      <c r="X17">
        <v>110235793</v>
      </c>
      <c r="Y17">
        <v>310325513</v>
      </c>
      <c r="Z17">
        <v>513561829</v>
      </c>
      <c r="AA17">
        <v>707176021</v>
      </c>
      <c r="AB17">
        <v>1531063372</v>
      </c>
      <c r="AC17">
        <v>4164940526</v>
      </c>
      <c r="AD17">
        <v>23580</v>
      </c>
      <c r="AE17">
        <v>4388</v>
      </c>
      <c r="AF17">
        <v>15790</v>
      </c>
      <c r="AG17">
        <v>142</v>
      </c>
      <c r="AH17">
        <v>142</v>
      </c>
    </row>
    <row r="18" spans="1:34" x14ac:dyDescent="0.3">
      <c r="A18" t="s">
        <v>60</v>
      </c>
      <c r="B18" t="s">
        <v>61</v>
      </c>
      <c r="C18">
        <v>523</v>
      </c>
      <c r="D18">
        <v>2926</v>
      </c>
      <c r="E18">
        <v>1</v>
      </c>
      <c r="F18">
        <v>24</v>
      </c>
      <c r="G18">
        <v>854</v>
      </c>
      <c r="H18">
        <v>7573</v>
      </c>
      <c r="I18">
        <v>2286</v>
      </c>
      <c r="J18">
        <v>2654</v>
      </c>
      <c r="K18">
        <v>3664</v>
      </c>
      <c r="L18">
        <v>13177</v>
      </c>
      <c r="M18">
        <v>96008087</v>
      </c>
      <c r="N18">
        <v>126149279</v>
      </c>
      <c r="O18">
        <v>215926766</v>
      </c>
      <c r="P18">
        <v>438084135</v>
      </c>
      <c r="Q18">
        <v>22685744</v>
      </c>
      <c r="R18">
        <v>29907126</v>
      </c>
      <c r="S18">
        <v>48073206</v>
      </c>
      <c r="T18">
        <v>100666065</v>
      </c>
      <c r="U18">
        <v>19538053</v>
      </c>
      <c r="V18">
        <v>37636748</v>
      </c>
      <c r="W18">
        <v>25618318</v>
      </c>
      <c r="X18">
        <v>82793125</v>
      </c>
      <c r="Y18">
        <v>192377582</v>
      </c>
      <c r="Z18">
        <v>293386226</v>
      </c>
      <c r="AA18">
        <v>377648061</v>
      </c>
      <c r="AB18">
        <v>863411865</v>
      </c>
      <c r="AC18">
        <v>1673660110</v>
      </c>
      <c r="AD18">
        <v>16841</v>
      </c>
      <c r="AE18">
        <v>3160</v>
      </c>
      <c r="AF18">
        <v>11552</v>
      </c>
      <c r="AG18">
        <v>275</v>
      </c>
      <c r="AH18">
        <v>275</v>
      </c>
    </row>
    <row r="19" spans="1:34" x14ac:dyDescent="0.3">
      <c r="A19" t="s">
        <v>62</v>
      </c>
      <c r="B19" t="s">
        <v>63</v>
      </c>
      <c r="C19">
        <v>197</v>
      </c>
      <c r="D19">
        <v>1318</v>
      </c>
      <c r="E19">
        <v>0</v>
      </c>
      <c r="F19">
        <v>13</v>
      </c>
      <c r="G19">
        <v>1763</v>
      </c>
      <c r="H19">
        <v>5347</v>
      </c>
      <c r="I19">
        <v>682</v>
      </c>
      <c r="J19">
        <v>1143</v>
      </c>
      <c r="K19">
        <v>2642</v>
      </c>
      <c r="L19">
        <v>7821</v>
      </c>
      <c r="M19">
        <v>33053077</v>
      </c>
      <c r="N19">
        <v>93784464</v>
      </c>
      <c r="O19">
        <v>73188762</v>
      </c>
      <c r="P19">
        <v>200026300</v>
      </c>
      <c r="Q19">
        <v>8911810</v>
      </c>
      <c r="R19">
        <v>23308636</v>
      </c>
      <c r="S19">
        <v>17448947</v>
      </c>
      <c r="T19">
        <v>49669393</v>
      </c>
      <c r="U19">
        <v>6822033</v>
      </c>
      <c r="V19">
        <v>30884161</v>
      </c>
      <c r="W19">
        <v>8190766</v>
      </c>
      <c r="X19">
        <v>45896957</v>
      </c>
      <c r="Y19">
        <v>79123856</v>
      </c>
      <c r="Z19">
        <v>245817161</v>
      </c>
      <c r="AA19">
        <v>140642322</v>
      </c>
      <c r="AB19">
        <v>465583342</v>
      </c>
      <c r="AC19">
        <v>778514487</v>
      </c>
      <c r="AD19">
        <v>10463</v>
      </c>
      <c r="AE19">
        <v>1971</v>
      </c>
      <c r="AF19">
        <v>5630</v>
      </c>
      <c r="AG19">
        <v>112</v>
      </c>
      <c r="AH19">
        <v>112</v>
      </c>
    </row>
    <row r="20" spans="1:34" x14ac:dyDescent="0.3">
      <c r="A20" t="s">
        <v>64</v>
      </c>
      <c r="B20" t="s">
        <v>65</v>
      </c>
      <c r="C20">
        <v>136</v>
      </c>
      <c r="D20">
        <v>884</v>
      </c>
      <c r="E20">
        <v>0</v>
      </c>
      <c r="F20">
        <v>2</v>
      </c>
      <c r="G20">
        <v>534</v>
      </c>
      <c r="H20">
        <v>3015</v>
      </c>
      <c r="I20">
        <v>912</v>
      </c>
      <c r="J20">
        <v>1397</v>
      </c>
      <c r="K20">
        <v>1582</v>
      </c>
      <c r="L20">
        <v>5298</v>
      </c>
      <c r="M20">
        <v>27946680</v>
      </c>
      <c r="N20">
        <v>35723191</v>
      </c>
      <c r="O20">
        <v>104864831</v>
      </c>
      <c r="P20">
        <v>168534705</v>
      </c>
      <c r="Q20">
        <v>8970278</v>
      </c>
      <c r="R20">
        <v>10741027</v>
      </c>
      <c r="S20">
        <v>26463760</v>
      </c>
      <c r="T20">
        <v>46175068</v>
      </c>
      <c r="U20">
        <v>5989297</v>
      </c>
      <c r="V20">
        <v>22317238</v>
      </c>
      <c r="W20">
        <v>14021065</v>
      </c>
      <c r="X20">
        <v>42327597</v>
      </c>
      <c r="Y20">
        <v>55122123</v>
      </c>
      <c r="Z20">
        <v>114580254</v>
      </c>
      <c r="AA20">
        <v>188330890</v>
      </c>
      <c r="AB20">
        <v>358033267</v>
      </c>
      <c r="AC20">
        <v>1226916083</v>
      </c>
      <c r="AD20">
        <v>6880</v>
      </c>
      <c r="AE20">
        <v>1686</v>
      </c>
      <c r="AF20">
        <v>4113</v>
      </c>
      <c r="AG20">
        <v>32</v>
      </c>
      <c r="AH20">
        <v>31</v>
      </c>
    </row>
    <row r="21" spans="1:34" x14ac:dyDescent="0.3">
      <c r="A21" t="s">
        <v>66</v>
      </c>
      <c r="B21" t="s">
        <v>67</v>
      </c>
      <c r="C21">
        <v>547</v>
      </c>
      <c r="D21">
        <v>1227</v>
      </c>
      <c r="E21">
        <v>6</v>
      </c>
      <c r="F21">
        <v>10</v>
      </c>
      <c r="G21">
        <v>1867</v>
      </c>
      <c r="H21">
        <v>8166</v>
      </c>
      <c r="I21">
        <v>2508</v>
      </c>
      <c r="J21">
        <v>2765</v>
      </c>
      <c r="K21">
        <v>4928</v>
      </c>
      <c r="L21">
        <v>12168</v>
      </c>
      <c r="M21">
        <v>37627175</v>
      </c>
      <c r="N21">
        <v>108161110</v>
      </c>
      <c r="O21">
        <v>158665598</v>
      </c>
      <c r="P21">
        <v>304453877</v>
      </c>
      <c r="Q21">
        <v>10294954</v>
      </c>
      <c r="R21">
        <v>26532677</v>
      </c>
      <c r="S21">
        <v>41903196</v>
      </c>
      <c r="T21">
        <v>78730818</v>
      </c>
      <c r="U21">
        <v>12081195</v>
      </c>
      <c r="V21">
        <v>57737821</v>
      </c>
      <c r="W21">
        <v>29471598</v>
      </c>
      <c r="X21">
        <v>99290608</v>
      </c>
      <c r="Y21">
        <v>87013543</v>
      </c>
      <c r="Z21">
        <v>320578867</v>
      </c>
      <c r="AA21">
        <v>319098101</v>
      </c>
      <c r="AB21">
        <v>726690508</v>
      </c>
      <c r="AC21">
        <v>1596628479</v>
      </c>
      <c r="AD21">
        <v>17096</v>
      </c>
      <c r="AE21">
        <v>4266</v>
      </c>
      <c r="AF21">
        <v>9599</v>
      </c>
      <c r="AG21">
        <v>227</v>
      </c>
      <c r="AH21">
        <v>225</v>
      </c>
    </row>
    <row r="22" spans="1:34" x14ac:dyDescent="0.3">
      <c r="A22" t="s">
        <v>68</v>
      </c>
      <c r="B22" t="s">
        <v>69</v>
      </c>
      <c r="C22">
        <v>2739</v>
      </c>
      <c r="D22">
        <v>10501</v>
      </c>
      <c r="E22">
        <v>5</v>
      </c>
      <c r="F22">
        <v>79</v>
      </c>
      <c r="G22">
        <v>8728</v>
      </c>
      <c r="H22">
        <v>22235</v>
      </c>
      <c r="I22">
        <v>7296</v>
      </c>
      <c r="J22">
        <v>7636</v>
      </c>
      <c r="K22">
        <v>18768</v>
      </c>
      <c r="L22">
        <v>40451</v>
      </c>
      <c r="M22">
        <v>431954322</v>
      </c>
      <c r="N22">
        <v>480404217</v>
      </c>
      <c r="O22">
        <v>541497545</v>
      </c>
      <c r="P22">
        <v>1453856074</v>
      </c>
      <c r="Q22">
        <v>117544133</v>
      </c>
      <c r="R22">
        <v>138949718</v>
      </c>
      <c r="S22">
        <v>131866251</v>
      </c>
      <c r="T22">
        <v>388360107</v>
      </c>
      <c r="U22">
        <v>133875428</v>
      </c>
      <c r="V22">
        <v>238970891</v>
      </c>
      <c r="W22">
        <v>138764957</v>
      </c>
      <c r="X22">
        <v>511611281</v>
      </c>
      <c r="Y22">
        <v>1155981007</v>
      </c>
      <c r="Z22">
        <v>1375478662</v>
      </c>
      <c r="AA22">
        <v>1188578854</v>
      </c>
      <c r="AB22">
        <v>3720038523</v>
      </c>
      <c r="AC22">
        <v>16290782103</v>
      </c>
      <c r="AD22">
        <v>59219</v>
      </c>
      <c r="AE22">
        <v>15435</v>
      </c>
      <c r="AF22">
        <v>34978</v>
      </c>
      <c r="AG22">
        <v>604</v>
      </c>
      <c r="AH22">
        <v>579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2205-4EC5-4DB8-973E-D4B1329852ED}">
  <dimension ref="A1:AA24"/>
  <sheetViews>
    <sheetView tabSelected="1" zoomScale="90" zoomScaleNormal="90" workbookViewId="0">
      <pane xSplit="1" topLeftCell="B1" activePane="topRight" state="frozen"/>
      <selection pane="topRight" activeCell="W3" sqref="W3"/>
    </sheetView>
  </sheetViews>
  <sheetFormatPr baseColWidth="10" defaultRowHeight="14.4" x14ac:dyDescent="0.3"/>
  <cols>
    <col min="1" max="1" width="55.44140625" customWidth="1"/>
    <col min="2" max="2" width="17.5546875" bestFit="1" customWidth="1"/>
    <col min="3" max="3" width="15.77734375" bestFit="1" customWidth="1"/>
    <col min="4" max="4" width="16.109375" customWidth="1"/>
    <col min="5" max="5" width="8.33203125" customWidth="1"/>
    <col min="6" max="6" width="9" bestFit="1" customWidth="1"/>
    <col min="7" max="7" width="8.109375" bestFit="1" customWidth="1"/>
    <col min="8" max="9" width="8.33203125" style="5" customWidth="1"/>
    <col min="10" max="10" width="13" bestFit="1" customWidth="1"/>
    <col min="11" max="11" width="4.77734375" style="5" bestFit="1" customWidth="1"/>
    <col min="12" max="12" width="12.33203125" bestFit="1" customWidth="1"/>
    <col min="13" max="13" width="5.33203125" style="7" bestFit="1" customWidth="1"/>
    <col min="14" max="14" width="8.88671875" bestFit="1" customWidth="1"/>
    <col min="15" max="15" width="4.77734375" style="5" bestFit="1" customWidth="1"/>
    <col min="16" max="16" width="8.109375" customWidth="1"/>
    <col min="17" max="17" width="4.77734375" style="5" bestFit="1" customWidth="1"/>
    <col min="18" max="18" width="13.33203125" bestFit="1" customWidth="1"/>
    <col min="19" max="19" width="16.5546875" bestFit="1" customWidth="1"/>
    <col min="20" max="20" width="11.21875" bestFit="1" customWidth="1"/>
    <col min="21" max="21" width="13.109375" bestFit="1" customWidth="1"/>
    <col min="24" max="24" width="21.5546875" bestFit="1" customWidth="1"/>
    <col min="25" max="26" width="14.88671875" bestFit="1" customWidth="1"/>
    <col min="27" max="27" width="17.109375" bestFit="1" customWidth="1"/>
  </cols>
  <sheetData>
    <row r="1" spans="1:27" x14ac:dyDescent="0.3">
      <c r="B1" s="8" t="s">
        <v>92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 t="s">
        <v>97</v>
      </c>
      <c r="X1" s="8"/>
      <c r="Y1" s="8"/>
      <c r="Z1" s="8"/>
      <c r="AA1" s="8"/>
    </row>
    <row r="2" spans="1:27" ht="57.6" x14ac:dyDescent="0.3">
      <c r="A2" t="s">
        <v>1</v>
      </c>
      <c r="B2" t="s">
        <v>24</v>
      </c>
      <c r="C2" t="s">
        <v>26</v>
      </c>
      <c r="D2" s="3" t="s">
        <v>73</v>
      </c>
      <c r="E2" s="3" t="s">
        <v>70</v>
      </c>
      <c r="F2" t="s">
        <v>71</v>
      </c>
      <c r="G2" t="s">
        <v>72</v>
      </c>
      <c r="H2" s="6" t="s">
        <v>74</v>
      </c>
      <c r="I2" s="6" t="s">
        <v>75</v>
      </c>
      <c r="J2" s="3" t="s">
        <v>77</v>
      </c>
      <c r="K2" s="5" t="s">
        <v>76</v>
      </c>
      <c r="L2" s="3" t="s">
        <v>78</v>
      </c>
      <c r="M2" s="7" t="s">
        <v>76</v>
      </c>
      <c r="N2" s="3" t="s">
        <v>79</v>
      </c>
      <c r="O2" s="5" t="s">
        <v>76</v>
      </c>
      <c r="P2" s="3" t="s">
        <v>80</v>
      </c>
      <c r="Q2" s="5" t="s">
        <v>76</v>
      </c>
      <c r="R2" s="3" t="s">
        <v>83</v>
      </c>
      <c r="S2" s="3" t="s">
        <v>88</v>
      </c>
      <c r="T2" s="3" t="s">
        <v>89</v>
      </c>
      <c r="U2" s="3" t="s">
        <v>90</v>
      </c>
      <c r="V2" s="3" t="s">
        <v>91</v>
      </c>
      <c r="W2" s="3" t="s">
        <v>93</v>
      </c>
      <c r="X2" s="3" t="s">
        <v>96</v>
      </c>
      <c r="Y2" s="3" t="s">
        <v>94</v>
      </c>
      <c r="Z2" s="3" t="s">
        <v>95</v>
      </c>
      <c r="AA2" s="3" t="s">
        <v>98</v>
      </c>
    </row>
    <row r="3" spans="1:27" x14ac:dyDescent="0.3">
      <c r="A3" s="3" t="str">
        <f>'Sheet 1'!B2</f>
        <v>Elaboración de productos alimenticios</v>
      </c>
      <c r="B3" s="2">
        <f>'Sheet 1'!AC2</f>
        <v>41513051405</v>
      </c>
      <c r="C3">
        <f>'Sheet 1'!AG2</f>
        <v>1287</v>
      </c>
      <c r="D3" s="4">
        <f>B3/C3</f>
        <v>32255673.197358198</v>
      </c>
      <c r="E3">
        <f>'Sheet 1'!AD2</f>
        <v>184924</v>
      </c>
      <c r="F3">
        <f>'Sheet 1'!L2</f>
        <v>122748</v>
      </c>
      <c r="G3">
        <f>'Sheet 1'!K2</f>
        <v>62176</v>
      </c>
      <c r="H3" s="5">
        <f>F3/E3</f>
        <v>0.66377538880837528</v>
      </c>
      <c r="I3" s="5">
        <f>G3/E3</f>
        <v>0.33622461119162467</v>
      </c>
      <c r="J3">
        <f>'Sheet 1'!C2+'Sheet 1'!D2</f>
        <v>24822</v>
      </c>
      <c r="K3" s="5">
        <f>J3/E3</f>
        <v>0.13422811533386689</v>
      </c>
      <c r="L3">
        <f>'Sheet 1'!F2+'Sheet 1'!E2</f>
        <v>168</v>
      </c>
      <c r="M3" s="7">
        <f>L3/E3</f>
        <v>9.084813220566287E-4</v>
      </c>
      <c r="N3">
        <f>'Sheet 1'!G2+'Sheet 1'!H2</f>
        <v>109757</v>
      </c>
      <c r="O3" s="5">
        <f>N3/E3</f>
        <v>0.59352490752957976</v>
      </c>
      <c r="P3">
        <f>'Sheet 1'!I2+'Sheet 1'!J2</f>
        <v>50177</v>
      </c>
      <c r="Q3" s="5">
        <f>P3/E3</f>
        <v>0.27133849581449676</v>
      </c>
      <c r="R3" s="2">
        <f>B3/E3</f>
        <v>224487.094184638</v>
      </c>
      <c r="S3" s="2">
        <f>'Sheet 1'!Y2/(Estructurado!J3+Estructurado!L3)</f>
        <v>58256.121328531415</v>
      </c>
      <c r="T3" s="2">
        <f>'Sheet 1'!Z2/Estructurado!N3</f>
        <v>38995.364896999738</v>
      </c>
      <c r="U3" s="2">
        <f>'Sheet 1'!AA2/Estructurado!P3</f>
        <v>69638.500906789966</v>
      </c>
      <c r="V3" s="1">
        <f>'Sheet 1'!AB2/'Sheet 1'!AD2</f>
        <v>49912.860391295886</v>
      </c>
      <c r="W3" s="2">
        <v>292756.70455157763</v>
      </c>
      <c r="X3" s="2">
        <v>7472600317952</v>
      </c>
      <c r="Y3" s="2">
        <v>25524950</v>
      </c>
      <c r="Z3" s="2">
        <v>16800000</v>
      </c>
      <c r="AA3" s="4">
        <f>Y3/12</f>
        <v>2127079.1666666665</v>
      </c>
    </row>
    <row r="4" spans="1:27" x14ac:dyDescent="0.3">
      <c r="A4" s="3" t="str">
        <f>'Sheet 1'!B3</f>
        <v>Elaboración de bebidas</v>
      </c>
      <c r="B4" s="2">
        <f>'Sheet 1'!AC3</f>
        <v>7916248241</v>
      </c>
      <c r="C4">
        <f>'Sheet 1'!AG3</f>
        <v>53</v>
      </c>
      <c r="D4" s="4">
        <f t="shared" ref="D4:D23" si="0">B4/C4</f>
        <v>149363174.35849056</v>
      </c>
      <c r="E4">
        <f>'Sheet 1'!AD3</f>
        <v>12577</v>
      </c>
      <c r="F4">
        <f>'Sheet 1'!L3</f>
        <v>9456</v>
      </c>
      <c r="G4">
        <f>'Sheet 1'!K3</f>
        <v>3121</v>
      </c>
      <c r="H4" s="5">
        <f t="shared" ref="H4:H23" si="1">F4/E4</f>
        <v>0.7518486125467122</v>
      </c>
      <c r="I4" s="5">
        <f t="shared" ref="I4:I23" si="2">G4/E4</f>
        <v>0.24815138745328774</v>
      </c>
      <c r="J4">
        <f>'Sheet 1'!C3+'Sheet 1'!D3</f>
        <v>1385</v>
      </c>
      <c r="K4" s="5">
        <f t="shared" ref="K4:K23" si="3">J4/E4</f>
        <v>0.11012165063210623</v>
      </c>
      <c r="L4">
        <f>'Sheet 1'!F3+'Sheet 1'!E3</f>
        <v>11</v>
      </c>
      <c r="M4" s="7">
        <f t="shared" ref="M4:M23" si="4">L4/E4</f>
        <v>8.7461238769181841E-4</v>
      </c>
      <c r="N4">
        <f>'Sheet 1'!G3+'Sheet 1'!H3</f>
        <v>4416</v>
      </c>
      <c r="O4" s="5">
        <f t="shared" ref="O4:O23" si="5">N4/E4</f>
        <v>0.35111711854973365</v>
      </c>
      <c r="P4">
        <f>'Sheet 1'!I3+'Sheet 1'!J3</f>
        <v>6765</v>
      </c>
      <c r="Q4" s="5">
        <f t="shared" ref="Q4:Q23" si="6">P4/E4</f>
        <v>0.53788661843046837</v>
      </c>
      <c r="R4" s="2">
        <f t="shared" ref="R4:R23" si="7">B4/E4</f>
        <v>629422.61596565158</v>
      </c>
      <c r="S4" s="2">
        <f>'Sheet 1'!Y3/(Estructurado!J4+Estructurado!L4)</f>
        <v>114584.50787965616</v>
      </c>
      <c r="T4" s="2">
        <f>'Sheet 1'!Z3/Estructurado!N4</f>
        <v>60024.80865036232</v>
      </c>
      <c r="U4" s="2">
        <f>'Sheet 1'!AA3/Estructurado!P4</f>
        <v>78295.286326681453</v>
      </c>
      <c r="V4" s="1">
        <f>'Sheet 1'!AB3/'Sheet 1'!AD3</f>
        <v>75908.176830722747</v>
      </c>
      <c r="W4" s="2">
        <v>53982.389692664146</v>
      </c>
      <c r="X4" s="2">
        <v>1589056897024</v>
      </c>
      <c r="Y4" s="2">
        <v>29436578</v>
      </c>
      <c r="Z4" s="2">
        <v>18000000</v>
      </c>
      <c r="AA4" s="4">
        <f t="shared" ref="AA4:AA23" si="8">Y4/12</f>
        <v>2453048.1666666665</v>
      </c>
    </row>
    <row r="5" spans="1:27" x14ac:dyDescent="0.3">
      <c r="A5" s="3" t="str">
        <f>'Sheet 1'!B4</f>
        <v>Fabricación de productos textiles</v>
      </c>
      <c r="B5" s="2">
        <f>'Sheet 1'!AC4</f>
        <v>2657337121</v>
      </c>
      <c r="C5">
        <f>'Sheet 1'!AG4</f>
        <v>199</v>
      </c>
      <c r="D5" s="4">
        <f t="shared" si="0"/>
        <v>13353452.869346734</v>
      </c>
      <c r="E5">
        <f>'Sheet 1'!AD4</f>
        <v>27878</v>
      </c>
      <c r="F5">
        <f>'Sheet 1'!L4</f>
        <v>17939</v>
      </c>
      <c r="G5">
        <f>'Sheet 1'!K4</f>
        <v>9939</v>
      </c>
      <c r="H5" s="5">
        <f t="shared" si="1"/>
        <v>0.64348231580457704</v>
      </c>
      <c r="I5" s="5">
        <f t="shared" si="2"/>
        <v>0.3565176841954229</v>
      </c>
      <c r="J5">
        <f>'Sheet 1'!C4+'Sheet 1'!D4</f>
        <v>3459</v>
      </c>
      <c r="K5" s="5">
        <f t="shared" si="3"/>
        <v>0.12407633259200804</v>
      </c>
      <c r="L5">
        <f>'Sheet 1'!F4+'Sheet 1'!E4</f>
        <v>13</v>
      </c>
      <c r="M5" s="7">
        <f t="shared" si="4"/>
        <v>4.6631752636487552E-4</v>
      </c>
      <c r="N5">
        <f>'Sheet 1'!G4+'Sheet 1'!H4</f>
        <v>18613</v>
      </c>
      <c r="O5" s="5">
        <f t="shared" si="5"/>
        <v>0.66765908601764834</v>
      </c>
      <c r="P5">
        <f>'Sheet 1'!I4+'Sheet 1'!J4</f>
        <v>5793</v>
      </c>
      <c r="Q5" s="5">
        <f t="shared" si="6"/>
        <v>0.20779826386397876</v>
      </c>
      <c r="R5" s="2">
        <f t="shared" si="7"/>
        <v>95320.220998636913</v>
      </c>
      <c r="S5" s="2">
        <f>'Sheet 1'!Y4/(Estructurado!J5+Estructurado!L5)</f>
        <v>58933.520737327191</v>
      </c>
      <c r="T5" s="2">
        <f>'Sheet 1'!Z4/Estructurado!N5</f>
        <v>32534.454682211359</v>
      </c>
      <c r="U5" s="2">
        <f>'Sheet 1'!AA4/Estructurado!P5</f>
        <v>77586.766787502158</v>
      </c>
      <c r="V5" s="1">
        <f>'Sheet 1'!AB4/'Sheet 1'!AD4</f>
        <v>45184.056675514745</v>
      </c>
      <c r="W5" s="2">
        <v>33381.501019895077</v>
      </c>
      <c r="X5" s="2">
        <v>801464188928</v>
      </c>
      <c r="Y5" s="2">
        <v>24009232</v>
      </c>
      <c r="Z5" s="2">
        <v>16800000</v>
      </c>
      <c r="AA5" s="4">
        <f t="shared" si="8"/>
        <v>2000769.3333333333</v>
      </c>
    </row>
    <row r="6" spans="1:27" x14ac:dyDescent="0.3">
      <c r="A6" s="3" t="str">
        <f>'Sheet 1'!B5</f>
        <v>Confección de prendas de vestir</v>
      </c>
      <c r="B6" s="2">
        <f>'Sheet 1'!AC5</f>
        <v>5608420074</v>
      </c>
      <c r="C6">
        <f>'Sheet 1'!AG5</f>
        <v>605</v>
      </c>
      <c r="D6" s="4">
        <f t="shared" si="0"/>
        <v>9270115.8247933891</v>
      </c>
      <c r="E6">
        <f>'Sheet 1'!AD5</f>
        <v>66014</v>
      </c>
      <c r="F6">
        <f>'Sheet 1'!L5</f>
        <v>20680</v>
      </c>
      <c r="G6">
        <f>'Sheet 1'!K5</f>
        <v>45334</v>
      </c>
      <c r="H6" s="5">
        <f t="shared" si="1"/>
        <v>0.31326688278244008</v>
      </c>
      <c r="I6" s="5">
        <f t="shared" si="2"/>
        <v>0.68673311721755992</v>
      </c>
      <c r="J6">
        <f>'Sheet 1'!C5+'Sheet 1'!D5</f>
        <v>6705</v>
      </c>
      <c r="K6" s="5">
        <f t="shared" si="3"/>
        <v>0.10156936407428727</v>
      </c>
      <c r="L6">
        <f>'Sheet 1'!F5+'Sheet 1'!E5</f>
        <v>112</v>
      </c>
      <c r="M6" s="7">
        <f t="shared" si="4"/>
        <v>1.6966098100402946E-3</v>
      </c>
      <c r="N6">
        <f>'Sheet 1'!G5+'Sheet 1'!H5</f>
        <v>43090</v>
      </c>
      <c r="O6" s="5">
        <f t="shared" si="5"/>
        <v>0.65274032780925262</v>
      </c>
      <c r="P6">
        <f>'Sheet 1'!I5+'Sheet 1'!J5</f>
        <v>16107</v>
      </c>
      <c r="Q6" s="5">
        <f t="shared" si="6"/>
        <v>0.24399369830641984</v>
      </c>
      <c r="R6" s="2">
        <f t="shared" si="7"/>
        <v>84958.040324779591</v>
      </c>
      <c r="S6" s="2">
        <f>'Sheet 1'!Y5/(Estructurado!J6+Estructurado!L6)</f>
        <v>49994.283849200525</v>
      </c>
      <c r="T6" s="2">
        <f>'Sheet 1'!Z5/Estructurado!N6</f>
        <v>28625.878602924113</v>
      </c>
      <c r="U6" s="2">
        <f>'Sheet 1'!AA5/Estructurado!P6</f>
        <v>59164.37275718632</v>
      </c>
      <c r="V6" s="1">
        <f>'Sheet 1'!AB5/'Sheet 1'!AD5</f>
        <v>38283.707910443241</v>
      </c>
      <c r="W6" s="2">
        <v>156115.59936070439</v>
      </c>
      <c r="X6" s="2">
        <v>3258957692928</v>
      </c>
      <c r="Y6" s="2">
        <v>20875286</v>
      </c>
      <c r="Z6" s="2">
        <v>15600000</v>
      </c>
      <c r="AA6" s="4">
        <f t="shared" si="8"/>
        <v>1739607.1666666667</v>
      </c>
    </row>
    <row r="7" spans="1:27" ht="57.6" x14ac:dyDescent="0.3">
      <c r="A7" s="3" t="str">
        <f>'Sheet 1'!B6</f>
        <v>Curtido y recurtido de cueros; fabricación de calzado; fabricación de artículos de viaje, maletas, bolsos de mano y artículos similares, y fabricación de artículos de talabartería y guarnicionería; adobo y teñido de pieles</v>
      </c>
      <c r="B7" s="2">
        <f>'Sheet 1'!AC6</f>
        <v>856536941</v>
      </c>
      <c r="C7">
        <f>'Sheet 1'!AG6</f>
        <v>174</v>
      </c>
      <c r="D7" s="4">
        <f t="shared" si="0"/>
        <v>4922626.0977011491</v>
      </c>
      <c r="E7">
        <f>'Sheet 1'!AD6</f>
        <v>14298</v>
      </c>
      <c r="F7">
        <f>'Sheet 1'!L6</f>
        <v>7301</v>
      </c>
      <c r="G7">
        <f>'Sheet 1'!K6</f>
        <v>6997</v>
      </c>
      <c r="H7" s="5">
        <f t="shared" si="1"/>
        <v>0.51063085746258219</v>
      </c>
      <c r="I7" s="5">
        <f t="shared" si="2"/>
        <v>0.48936914253741781</v>
      </c>
      <c r="J7">
        <f>'Sheet 1'!C6+'Sheet 1'!D6</f>
        <v>1142</v>
      </c>
      <c r="K7" s="5">
        <f t="shared" si="3"/>
        <v>7.9871310672821369E-2</v>
      </c>
      <c r="L7">
        <f>'Sheet 1'!F6+'Sheet 1'!E6</f>
        <v>21</v>
      </c>
      <c r="M7" s="7">
        <f t="shared" si="4"/>
        <v>1.4687368862778011E-3</v>
      </c>
      <c r="N7">
        <f>'Sheet 1'!G6+'Sheet 1'!H6</f>
        <v>9801</v>
      </c>
      <c r="O7" s="5">
        <f t="shared" si="5"/>
        <v>0.68548048678136797</v>
      </c>
      <c r="P7">
        <f>'Sheet 1'!I6+'Sheet 1'!J6</f>
        <v>3334</v>
      </c>
      <c r="Q7" s="5">
        <f t="shared" si="6"/>
        <v>0.23317946565953279</v>
      </c>
      <c r="R7" s="2">
        <f t="shared" si="7"/>
        <v>59906.066652678695</v>
      </c>
      <c r="S7" s="2">
        <f>'Sheet 1'!Y6/(Estructurado!J7+Estructurado!L7)</f>
        <v>59824.983662940671</v>
      </c>
      <c r="T7" s="2">
        <f>'Sheet 1'!Z6/Estructurado!N7</f>
        <v>27406.555555555555</v>
      </c>
      <c r="U7" s="2">
        <f>'Sheet 1'!AA6/Estructurado!P7</f>
        <v>63385.710857828431</v>
      </c>
      <c r="V7" s="1">
        <f>'Sheet 1'!AB6/'Sheet 1'!AD6</f>
        <v>38433.070988949505</v>
      </c>
      <c r="W7" s="2">
        <v>40735.455275535583</v>
      </c>
      <c r="X7" s="2">
        <v>739507306496</v>
      </c>
      <c r="Y7" s="2">
        <v>18153898</v>
      </c>
      <c r="Z7" s="2">
        <v>15600000</v>
      </c>
      <c r="AA7" s="4">
        <f t="shared" si="8"/>
        <v>1512824.8333333333</v>
      </c>
    </row>
    <row r="8" spans="1:27" ht="43.2" x14ac:dyDescent="0.3">
      <c r="A8" s="3" t="str">
        <f>'Sheet 1'!B7</f>
        <v>Transformación de la madera y fabricación de productos de madera y de corcho, excepto muebles; fabricación de artículos de cestería y espartería</v>
      </c>
      <c r="B8" s="2">
        <f>'Sheet 1'!AC7</f>
        <v>364104823</v>
      </c>
      <c r="C8">
        <f>'Sheet 1'!AG7</f>
        <v>89</v>
      </c>
      <c r="D8" s="4">
        <f t="shared" si="0"/>
        <v>4091065.4269662923</v>
      </c>
      <c r="E8">
        <f>'Sheet 1'!AD7</f>
        <v>3708</v>
      </c>
      <c r="F8">
        <f>'Sheet 1'!L7</f>
        <v>3013</v>
      </c>
      <c r="G8">
        <f>'Sheet 1'!K7</f>
        <v>695</v>
      </c>
      <c r="H8" s="5">
        <f t="shared" si="1"/>
        <v>0.81256742179072272</v>
      </c>
      <c r="I8" s="5">
        <f t="shared" si="2"/>
        <v>0.18743257820927725</v>
      </c>
      <c r="J8">
        <f>'Sheet 1'!C7+'Sheet 1'!D7</f>
        <v>305</v>
      </c>
      <c r="K8" s="5">
        <f t="shared" si="3"/>
        <v>8.2254584681769147E-2</v>
      </c>
      <c r="L8">
        <f>'Sheet 1'!F7+'Sheet 1'!E7</f>
        <v>4</v>
      </c>
      <c r="M8" s="7">
        <f t="shared" si="4"/>
        <v>1.0787486515641855E-3</v>
      </c>
      <c r="N8">
        <f>'Sheet 1'!G7+'Sheet 1'!H7</f>
        <v>2621</v>
      </c>
      <c r="O8" s="5">
        <f t="shared" si="5"/>
        <v>0.70685005393743261</v>
      </c>
      <c r="P8">
        <f>'Sheet 1'!I7+'Sheet 1'!J7</f>
        <v>778</v>
      </c>
      <c r="Q8" s="5">
        <f t="shared" si="6"/>
        <v>0.20981661272923408</v>
      </c>
      <c r="R8" s="2">
        <f t="shared" si="7"/>
        <v>98194.396709816618</v>
      </c>
      <c r="S8" s="2">
        <f>'Sheet 1'!Y7/(Estructurado!J8+Estructurado!L8)</f>
        <v>81996.336569579289</v>
      </c>
      <c r="T8" s="2">
        <f>'Sheet 1'!Z7/Estructurado!N8</f>
        <v>30320.499046165587</v>
      </c>
      <c r="U8" s="2">
        <f>'Sheet 1'!AA7/Estructurado!P8</f>
        <v>64857.182519280206</v>
      </c>
      <c r="V8" s="1">
        <f>'Sheet 1'!AB7/'Sheet 1'!AD7</f>
        <v>41873.188781014025</v>
      </c>
      <c r="W8" s="2">
        <v>7992.1848473548889</v>
      </c>
      <c r="X8" s="2">
        <v>179486179328</v>
      </c>
      <c r="Y8" s="2">
        <v>22457712</v>
      </c>
      <c r="Z8" s="2">
        <v>15600000</v>
      </c>
      <c r="AA8" s="4">
        <f t="shared" si="8"/>
        <v>1871476</v>
      </c>
    </row>
    <row r="9" spans="1:27" x14ac:dyDescent="0.3">
      <c r="A9" s="3" t="str">
        <f>'Sheet 1'!B8</f>
        <v>Fabricación de papel, cartón y productos de papel y cartón</v>
      </c>
      <c r="B9" s="2">
        <f>'Sheet 1'!AC8</f>
        <v>5966261497</v>
      </c>
      <c r="C9">
        <f>'Sheet 1'!AG8</f>
        <v>130</v>
      </c>
      <c r="D9" s="4">
        <f t="shared" si="0"/>
        <v>45894319.20769231</v>
      </c>
      <c r="E9">
        <f>'Sheet 1'!AD8</f>
        <v>20647</v>
      </c>
      <c r="F9">
        <f>'Sheet 1'!L8</f>
        <v>14772</v>
      </c>
      <c r="G9">
        <f>'Sheet 1'!K8</f>
        <v>5875</v>
      </c>
      <c r="H9" s="5">
        <f t="shared" si="1"/>
        <v>0.71545502978640962</v>
      </c>
      <c r="I9" s="5">
        <f t="shared" si="2"/>
        <v>0.28454497021359038</v>
      </c>
      <c r="J9">
        <f>'Sheet 1'!C8+'Sheet 1'!D8</f>
        <v>3650</v>
      </c>
      <c r="K9" s="5">
        <f t="shared" si="3"/>
        <v>0.17678113043057103</v>
      </c>
      <c r="L9">
        <f>'Sheet 1'!F8+'Sheet 1'!E8</f>
        <v>12</v>
      </c>
      <c r="M9" s="7">
        <f t="shared" si="4"/>
        <v>5.8119823703201435E-4</v>
      </c>
      <c r="N9">
        <f>'Sheet 1'!G8+'Sheet 1'!H8</f>
        <v>12137</v>
      </c>
      <c r="O9" s="5">
        <f t="shared" si="5"/>
        <v>0.5878335835714632</v>
      </c>
      <c r="P9">
        <f>'Sheet 1'!I8+'Sheet 1'!J8</f>
        <v>4848</v>
      </c>
      <c r="Q9" s="5">
        <f t="shared" si="6"/>
        <v>0.23480408776093378</v>
      </c>
      <c r="R9" s="2">
        <f t="shared" si="7"/>
        <v>288965.05531069887</v>
      </c>
      <c r="S9" s="2">
        <f>'Sheet 1'!Y8/(Estructurado!J9+Estructurado!L9)</f>
        <v>121858.6127799017</v>
      </c>
      <c r="T9" s="2">
        <f>'Sheet 1'!Z8/Estructurado!N9</f>
        <v>48587.34571970009</v>
      </c>
      <c r="U9" s="2">
        <f>'Sheet 1'!AA8/Estructurado!P9</f>
        <v>111106.88448844885</v>
      </c>
      <c r="V9" s="1">
        <f>'Sheet 1'!AB8/'Sheet 1'!AD8</f>
        <v>76262.751247154549</v>
      </c>
      <c r="W9" s="2">
        <v>36072.072888374329</v>
      </c>
      <c r="X9" s="2">
        <v>1498787872768</v>
      </c>
      <c r="Y9" s="2">
        <v>41549812</v>
      </c>
      <c r="Z9" s="2">
        <v>18000000</v>
      </c>
      <c r="AA9" s="4">
        <f t="shared" si="8"/>
        <v>3462484.3333333335</v>
      </c>
    </row>
    <row r="10" spans="1:27" ht="28.8" x14ac:dyDescent="0.3">
      <c r="A10" s="3" t="str">
        <f>'Sheet 1'!B9</f>
        <v>Actividades de impresión y de producción de copias a partir de grabaciones originales</v>
      </c>
      <c r="B10" s="2">
        <f>'Sheet 1'!AC9</f>
        <v>2386304024</v>
      </c>
      <c r="C10">
        <f>'Sheet 1'!AG9</f>
        <v>298</v>
      </c>
      <c r="D10" s="4">
        <f t="shared" si="0"/>
        <v>8007731.6241610739</v>
      </c>
      <c r="E10">
        <f>'Sheet 1'!AD9</f>
        <v>17959</v>
      </c>
      <c r="F10">
        <f>'Sheet 1'!L9</f>
        <v>10433</v>
      </c>
      <c r="G10">
        <f>'Sheet 1'!K9</f>
        <v>7526</v>
      </c>
      <c r="H10" s="5">
        <f t="shared" si="1"/>
        <v>0.5809343504649479</v>
      </c>
      <c r="I10" s="5">
        <f t="shared" si="2"/>
        <v>0.41906564953505204</v>
      </c>
      <c r="J10">
        <f>'Sheet 1'!C9+'Sheet 1'!D9</f>
        <v>2695</v>
      </c>
      <c r="K10" s="5">
        <f t="shared" si="3"/>
        <v>0.1500640347458099</v>
      </c>
      <c r="L10">
        <f>'Sheet 1'!F9+'Sheet 1'!E9</f>
        <v>20</v>
      </c>
      <c r="M10" s="7">
        <f t="shared" si="4"/>
        <v>1.113647753215658E-3</v>
      </c>
      <c r="N10">
        <f>'Sheet 1'!G9+'Sheet 1'!H9</f>
        <v>10896</v>
      </c>
      <c r="O10" s="5">
        <f t="shared" si="5"/>
        <v>0.60671529595189044</v>
      </c>
      <c r="P10">
        <f>'Sheet 1'!I9+'Sheet 1'!J9</f>
        <v>4348</v>
      </c>
      <c r="Q10" s="5">
        <f t="shared" si="6"/>
        <v>0.24210702154908403</v>
      </c>
      <c r="R10" s="2">
        <f t="shared" si="7"/>
        <v>132875.10574085417</v>
      </c>
      <c r="S10" s="2">
        <f>'Sheet 1'!Y9/(Estructurado!J10+Estructurado!L10)</f>
        <v>54490.335911602211</v>
      </c>
      <c r="T10" s="2">
        <f>'Sheet 1'!Z9/Estructurado!N10</f>
        <v>34344.688050660792</v>
      </c>
      <c r="U10" s="2">
        <f>'Sheet 1'!AA9/Estructurado!P10</f>
        <v>70162.488500459978</v>
      </c>
      <c r="V10" s="1">
        <f>'Sheet 1'!AB9/'Sheet 1'!AD9</f>
        <v>46062.00139205969</v>
      </c>
      <c r="W10" s="2">
        <v>14227.397269248961</v>
      </c>
      <c r="X10" s="2">
        <v>320827621376</v>
      </c>
      <c r="Y10" s="2">
        <v>22549986</v>
      </c>
      <c r="Z10" s="2">
        <v>18000000</v>
      </c>
      <c r="AA10" s="4">
        <f t="shared" si="8"/>
        <v>1879165.5</v>
      </c>
    </row>
    <row r="11" spans="1:27" ht="28.8" x14ac:dyDescent="0.3">
      <c r="A11" s="3" t="str">
        <f>'Sheet 1'!B10</f>
        <v>Coquización, fabricación de productos de la refinación del petróleo y actividad de mezcla de combustibles</v>
      </c>
      <c r="B11" s="2">
        <f>'Sheet 1'!AC10</f>
        <v>3819024349</v>
      </c>
      <c r="C11">
        <f>'Sheet 1'!AG10</f>
        <v>122</v>
      </c>
      <c r="D11" s="4">
        <f t="shared" si="0"/>
        <v>31303478.270491805</v>
      </c>
      <c r="E11">
        <f>'Sheet 1'!AD10</f>
        <v>7421</v>
      </c>
      <c r="F11">
        <f>'Sheet 1'!L10</f>
        <v>5679</v>
      </c>
      <c r="G11">
        <f>'Sheet 1'!K10</f>
        <v>1742</v>
      </c>
      <c r="H11" s="5">
        <f t="shared" si="1"/>
        <v>0.76526074653011722</v>
      </c>
      <c r="I11" s="5">
        <f t="shared" si="2"/>
        <v>0.23473925346988275</v>
      </c>
      <c r="J11">
        <f>'Sheet 1'!C10+'Sheet 1'!D10</f>
        <v>2328</v>
      </c>
      <c r="K11" s="5">
        <f t="shared" si="3"/>
        <v>0.31370435251313838</v>
      </c>
      <c r="L11">
        <f>'Sheet 1'!F10+'Sheet 1'!E10</f>
        <v>3</v>
      </c>
      <c r="M11" s="7">
        <f t="shared" si="4"/>
        <v>4.0425818622827114E-4</v>
      </c>
      <c r="N11">
        <f>'Sheet 1'!G10+'Sheet 1'!H10</f>
        <v>3442</v>
      </c>
      <c r="O11" s="5">
        <f t="shared" si="5"/>
        <v>0.46381889233256973</v>
      </c>
      <c r="P11">
        <f>'Sheet 1'!I10+'Sheet 1'!J10</f>
        <v>1648</v>
      </c>
      <c r="Q11" s="5">
        <f t="shared" si="6"/>
        <v>0.22207249696806361</v>
      </c>
      <c r="R11" s="2">
        <f t="shared" si="7"/>
        <v>514623.95216278132</v>
      </c>
      <c r="S11" s="2">
        <f>'Sheet 1'!Y10/(Estructurado!J11+Estructurado!L11)</f>
        <v>154190.26211926213</v>
      </c>
      <c r="T11" s="2">
        <f>'Sheet 1'!Z10/Estructurado!N11</f>
        <v>62280.843695525858</v>
      </c>
      <c r="U11" s="2">
        <f>'Sheet 1'!AA10/Estructurado!P11</f>
        <v>106340.96359223301</v>
      </c>
      <c r="V11" s="1">
        <f>'Sheet 1'!AB10/'Sheet 1'!AD10</f>
        <v>100934.92426896645</v>
      </c>
      <c r="W11" s="2">
        <v>7219.251886844635</v>
      </c>
      <c r="X11" s="2">
        <v>217988431872</v>
      </c>
      <c r="Y11" s="2">
        <v>30195434</v>
      </c>
      <c r="Z11" s="2">
        <v>18000000</v>
      </c>
      <c r="AA11" s="4">
        <f t="shared" si="8"/>
        <v>2516286.1666666665</v>
      </c>
    </row>
    <row r="12" spans="1:27" x14ac:dyDescent="0.3">
      <c r="A12" s="3" t="str">
        <f>'Sheet 1'!B11</f>
        <v>Fabricación de sustancias y productos químicos</v>
      </c>
      <c r="B12" s="2">
        <f>'Sheet 1'!AC11</f>
        <v>18978868223</v>
      </c>
      <c r="C12">
        <f>'Sheet 1'!AG11</f>
        <v>503</v>
      </c>
      <c r="D12" s="4">
        <f t="shared" si="0"/>
        <v>37731348.355864808</v>
      </c>
      <c r="E12">
        <f>'Sheet 1'!AD11</f>
        <v>59382</v>
      </c>
      <c r="F12">
        <f>'Sheet 1'!L11</f>
        <v>34674</v>
      </c>
      <c r="G12">
        <f>'Sheet 1'!K11</f>
        <v>24708</v>
      </c>
      <c r="H12" s="5">
        <f t="shared" si="1"/>
        <v>0.58391431746994038</v>
      </c>
      <c r="I12" s="5">
        <f t="shared" si="2"/>
        <v>0.41608568253005962</v>
      </c>
      <c r="J12">
        <f>'Sheet 1'!C11+'Sheet 1'!D11</f>
        <v>9544</v>
      </c>
      <c r="K12" s="5">
        <f t="shared" si="3"/>
        <v>0.1607221043413829</v>
      </c>
      <c r="L12">
        <f>'Sheet 1'!F11+'Sheet 1'!E11</f>
        <v>79</v>
      </c>
      <c r="M12" s="7">
        <f t="shared" si="4"/>
        <v>1.3303694722306423E-3</v>
      </c>
      <c r="N12">
        <f>'Sheet 1'!G11+'Sheet 1'!H11</f>
        <v>28728</v>
      </c>
      <c r="O12" s="5">
        <f t="shared" si="5"/>
        <v>0.48378296453470748</v>
      </c>
      <c r="P12">
        <f>'Sheet 1'!I11+'Sheet 1'!J11</f>
        <v>21031</v>
      </c>
      <c r="Q12" s="5">
        <f t="shared" si="6"/>
        <v>0.35416456165167898</v>
      </c>
      <c r="R12" s="2">
        <f t="shared" si="7"/>
        <v>319606.41647300532</v>
      </c>
      <c r="S12" s="2">
        <f>'Sheet 1'!Y11/(Estructurado!J12+Estructurado!L12)</f>
        <v>81042.841317676401</v>
      </c>
      <c r="T12" s="2">
        <f>'Sheet 1'!Z11/Estructurado!N12</f>
        <v>42697.25</v>
      </c>
      <c r="U12" s="2">
        <f>'Sheet 1'!AA11/Estructurado!P12</f>
        <v>91051.250011887212</v>
      </c>
      <c r="V12" s="1">
        <f>'Sheet 1'!AB11/'Sheet 1'!AD11</f>
        <v>66036.521454312751</v>
      </c>
      <c r="W12" s="2">
        <v>81296.940004348755</v>
      </c>
      <c r="X12" s="2">
        <v>2292983267328</v>
      </c>
      <c r="Y12" s="2">
        <v>28205038</v>
      </c>
      <c r="Z12" s="2">
        <v>18000000</v>
      </c>
      <c r="AA12" s="4">
        <f t="shared" si="8"/>
        <v>2350419.8333333335</v>
      </c>
    </row>
    <row r="13" spans="1:27" ht="28.8" x14ac:dyDescent="0.3">
      <c r="A13" s="3" t="str">
        <f>'Sheet 1'!B12</f>
        <v>Fabricación de productos farmacéuticos, sustancias químicas medicinales y productos botánicos de uso farmacéutico</v>
      </c>
      <c r="B13" s="2">
        <f>'Sheet 1'!AC12</f>
        <v>7362333654</v>
      </c>
      <c r="C13">
        <f>'Sheet 1'!AG12</f>
        <v>171</v>
      </c>
      <c r="D13" s="4">
        <f t="shared" si="0"/>
        <v>43054582.771929823</v>
      </c>
      <c r="E13">
        <f>'Sheet 1'!AD12</f>
        <v>31240</v>
      </c>
      <c r="F13">
        <f>'Sheet 1'!L12</f>
        <v>14196</v>
      </c>
      <c r="G13">
        <f>'Sheet 1'!K12</f>
        <v>17044</v>
      </c>
      <c r="H13" s="5">
        <f t="shared" si="1"/>
        <v>0.45441741357234317</v>
      </c>
      <c r="I13" s="5">
        <f t="shared" si="2"/>
        <v>0.54558258642765689</v>
      </c>
      <c r="J13">
        <f>'Sheet 1'!C12+'Sheet 1'!D12</f>
        <v>7456</v>
      </c>
      <c r="K13" s="5">
        <f t="shared" si="3"/>
        <v>0.23866837387964149</v>
      </c>
      <c r="L13">
        <f>'Sheet 1'!F12+'Sheet 1'!E12</f>
        <v>36</v>
      </c>
      <c r="M13" s="7">
        <f t="shared" si="4"/>
        <v>1.1523687580025609E-3</v>
      </c>
      <c r="N13">
        <f>'Sheet 1'!G12+'Sheet 1'!H12</f>
        <v>13612</v>
      </c>
      <c r="O13" s="5">
        <f t="shared" si="5"/>
        <v>0.43572343149807941</v>
      </c>
      <c r="P13">
        <f>'Sheet 1'!I12+'Sheet 1'!J12</f>
        <v>10136</v>
      </c>
      <c r="Q13" s="5">
        <f t="shared" si="6"/>
        <v>0.32445582586427657</v>
      </c>
      <c r="R13" s="2">
        <f t="shared" si="7"/>
        <v>235670.09135723431</v>
      </c>
      <c r="S13" s="2">
        <f>'Sheet 1'!Y12/(Estructurado!J13+Estructurado!L13)</f>
        <v>76360.745595301662</v>
      </c>
      <c r="T13" s="2">
        <f>'Sheet 1'!Z12/Estructurado!N13</f>
        <v>42392.343961210696</v>
      </c>
      <c r="U13" s="2">
        <f>'Sheet 1'!AA12/Estructurado!P13</f>
        <v>102431.93281373323</v>
      </c>
      <c r="V13" s="1">
        <f>'Sheet 1'!AB12/'Sheet 1'!AD12</f>
        <v>70018.865941101147</v>
      </c>
      <c r="W13" s="2">
        <v>50389.893980741501</v>
      </c>
      <c r="X13" s="2">
        <v>2090827382784</v>
      </c>
      <c r="Y13" s="2">
        <v>41492988</v>
      </c>
      <c r="Z13" s="2">
        <v>22584000</v>
      </c>
      <c r="AA13" s="4">
        <f t="shared" si="8"/>
        <v>3457749</v>
      </c>
    </row>
    <row r="14" spans="1:27" x14ac:dyDescent="0.3">
      <c r="A14" s="3" t="str">
        <f>'Sheet 1'!B13</f>
        <v>Fabricación de productos de caucho y de plástico</v>
      </c>
      <c r="B14" s="2">
        <f>'Sheet 1'!AC13</f>
        <v>7989186541</v>
      </c>
      <c r="C14">
        <f>'Sheet 1'!AG13</f>
        <v>563</v>
      </c>
      <c r="D14" s="4">
        <f t="shared" si="0"/>
        <v>14190384.619893428</v>
      </c>
      <c r="E14">
        <f>'Sheet 1'!AD13</f>
        <v>62974</v>
      </c>
      <c r="F14">
        <f>'Sheet 1'!L13</f>
        <v>40513</v>
      </c>
      <c r="G14">
        <f>'Sheet 1'!K13</f>
        <v>22461</v>
      </c>
      <c r="H14" s="5">
        <f t="shared" si="1"/>
        <v>0.64332899291771206</v>
      </c>
      <c r="I14" s="5">
        <f t="shared" si="2"/>
        <v>0.35667100708228794</v>
      </c>
      <c r="J14">
        <f>'Sheet 1'!C13+'Sheet 1'!D13</f>
        <v>9648</v>
      </c>
      <c r="K14" s="5">
        <f t="shared" si="3"/>
        <v>0.15320608505097341</v>
      </c>
      <c r="L14">
        <f>'Sheet 1'!F13+'Sheet 1'!E13</f>
        <v>59</v>
      </c>
      <c r="M14" s="7">
        <f t="shared" si="4"/>
        <v>9.368945914186807E-4</v>
      </c>
      <c r="N14">
        <f>'Sheet 1'!G13+'Sheet 1'!H13</f>
        <v>39197</v>
      </c>
      <c r="O14" s="5">
        <f t="shared" si="5"/>
        <v>0.62243147965827161</v>
      </c>
      <c r="P14">
        <f>'Sheet 1'!I13+'Sheet 1'!J13</f>
        <v>14070</v>
      </c>
      <c r="Q14" s="5">
        <f t="shared" si="6"/>
        <v>0.22342554069933623</v>
      </c>
      <c r="R14" s="2">
        <f t="shared" si="7"/>
        <v>126864.84169657319</v>
      </c>
      <c r="S14" s="2">
        <f>'Sheet 1'!Y13/(Estructurado!J14+Estructurado!L14)</f>
        <v>60291.353456268669</v>
      </c>
      <c r="T14" s="2">
        <f>'Sheet 1'!Z13/Estructurado!N14</f>
        <v>35967.423042579787</v>
      </c>
      <c r="U14" s="2">
        <f>'Sheet 1'!AA13/Estructurado!P14</f>
        <v>79032.197867803843</v>
      </c>
      <c r="V14" s="1">
        <f>'Sheet 1'!AB13/'Sheet 1'!AD13</f>
        <v>49338.556753580844</v>
      </c>
      <c r="W14" s="2">
        <v>95304.083910703659</v>
      </c>
      <c r="X14" s="2">
        <v>2442556342272</v>
      </c>
      <c r="Y14" s="2">
        <v>25629082</v>
      </c>
      <c r="Z14" s="2">
        <v>17544000</v>
      </c>
      <c r="AA14" s="4">
        <f t="shared" si="8"/>
        <v>2135756.8333333335</v>
      </c>
    </row>
    <row r="15" spans="1:27" x14ac:dyDescent="0.3">
      <c r="A15" s="3" t="str">
        <f>'Sheet 1'!B14</f>
        <v>Fabricación de otros productos minerales no metálicos</v>
      </c>
      <c r="B15" s="2">
        <f>'Sheet 1'!AC14</f>
        <v>9372191123</v>
      </c>
      <c r="C15">
        <f>'Sheet 1'!AG14</f>
        <v>438</v>
      </c>
      <c r="D15" s="4">
        <f t="shared" si="0"/>
        <v>21397696.627853882</v>
      </c>
      <c r="E15">
        <f>'Sheet 1'!AD14</f>
        <v>39314</v>
      </c>
      <c r="F15">
        <f>'Sheet 1'!L14</f>
        <v>34000</v>
      </c>
      <c r="G15">
        <f>'Sheet 1'!K14</f>
        <v>5314</v>
      </c>
      <c r="H15" s="5">
        <f t="shared" si="1"/>
        <v>0.8648318665106578</v>
      </c>
      <c r="I15" s="5">
        <f t="shared" si="2"/>
        <v>0.13516813348934223</v>
      </c>
      <c r="J15">
        <f>'Sheet 1'!C14+'Sheet 1'!D14</f>
        <v>4596</v>
      </c>
      <c r="K15" s="5">
        <f t="shared" si="3"/>
        <v>0.11690491936714656</v>
      </c>
      <c r="L15">
        <f>'Sheet 1'!F14+'Sheet 1'!E14</f>
        <v>19</v>
      </c>
      <c r="M15" s="7">
        <f t="shared" si="4"/>
        <v>4.8328839599124995E-4</v>
      </c>
      <c r="N15">
        <f>'Sheet 1'!G14+'Sheet 1'!H14</f>
        <v>27701</v>
      </c>
      <c r="O15" s="5">
        <f t="shared" si="5"/>
        <v>0.70460904512387446</v>
      </c>
      <c r="P15">
        <f>'Sheet 1'!I14+'Sheet 1'!J14</f>
        <v>6998</v>
      </c>
      <c r="Q15" s="5">
        <f t="shared" si="6"/>
        <v>0.17800274711298775</v>
      </c>
      <c r="R15" s="2">
        <f t="shared" si="7"/>
        <v>238393.22182937377</v>
      </c>
      <c r="S15" s="2">
        <f>'Sheet 1'!Y14/(Estructurado!J15+Estructurado!L15)</f>
        <v>80409.660021668475</v>
      </c>
      <c r="T15" s="2">
        <f>'Sheet 1'!Z14/Estructurado!N15</f>
        <v>47340.585213530198</v>
      </c>
      <c r="U15" s="2">
        <f>'Sheet 1'!AA14/Estructurado!P15</f>
        <v>82590.511003143751</v>
      </c>
      <c r="V15" s="1">
        <f>'Sheet 1'!AB14/'Sheet 1'!AD14</f>
        <v>57497.088340031543</v>
      </c>
      <c r="W15" s="2">
        <v>65302.21913433075</v>
      </c>
      <c r="X15" s="2">
        <v>2141214474240</v>
      </c>
      <c r="Y15" s="2">
        <v>32789306</v>
      </c>
      <c r="Z15" s="2">
        <v>18000000</v>
      </c>
      <c r="AA15" s="4">
        <f t="shared" si="8"/>
        <v>2732442.1666666665</v>
      </c>
    </row>
    <row r="16" spans="1:27" x14ac:dyDescent="0.3">
      <c r="A16" s="3" t="str">
        <f>'Sheet 1'!B15</f>
        <v>Fabricación de productos metalúrgicos básicos</v>
      </c>
      <c r="B16" s="2">
        <f>'Sheet 1'!AC15</f>
        <v>3706062574</v>
      </c>
      <c r="C16">
        <f>'Sheet 1'!AG15</f>
        <v>125</v>
      </c>
      <c r="D16" s="4">
        <f t="shared" si="0"/>
        <v>29648500.592</v>
      </c>
      <c r="E16">
        <f>'Sheet 1'!AD15</f>
        <v>13174</v>
      </c>
      <c r="F16">
        <f>'Sheet 1'!L15</f>
        <v>11104</v>
      </c>
      <c r="G16">
        <f>'Sheet 1'!K15</f>
        <v>2070</v>
      </c>
      <c r="H16" s="5">
        <f t="shared" si="1"/>
        <v>0.84287232427508729</v>
      </c>
      <c r="I16" s="5">
        <f t="shared" si="2"/>
        <v>0.15712767572491271</v>
      </c>
      <c r="J16">
        <f>'Sheet 1'!C15+'Sheet 1'!D15</f>
        <v>2188</v>
      </c>
      <c r="K16" s="5">
        <f t="shared" si="3"/>
        <v>0.16608471231212996</v>
      </c>
      <c r="L16">
        <f>'Sheet 1'!F15+'Sheet 1'!E15</f>
        <v>27</v>
      </c>
      <c r="M16" s="7">
        <f t="shared" si="4"/>
        <v>2.0494914224988615E-3</v>
      </c>
      <c r="N16">
        <f>'Sheet 1'!G15+'Sheet 1'!H15</f>
        <v>7750</v>
      </c>
      <c r="O16" s="5">
        <f t="shared" si="5"/>
        <v>0.58827994534689543</v>
      </c>
      <c r="P16">
        <f>'Sheet 1'!I15+'Sheet 1'!J15</f>
        <v>3209</v>
      </c>
      <c r="Q16" s="5">
        <f t="shared" si="6"/>
        <v>0.24358585091847579</v>
      </c>
      <c r="R16" s="2">
        <f t="shared" si="7"/>
        <v>281316.42432063154</v>
      </c>
      <c r="S16" s="2">
        <f>'Sheet 1'!Y15/(Estructurado!J16+Estructurado!L16)</f>
        <v>66543.927313769746</v>
      </c>
      <c r="T16" s="2">
        <f>'Sheet 1'!Z15/Estructurado!N16</f>
        <v>51463.606064516127</v>
      </c>
      <c r="U16" s="2">
        <f>'Sheet 1'!AA15/Estructurado!P16</f>
        <v>99677.63010283577</v>
      </c>
      <c r="V16" s="1">
        <f>'Sheet 1'!AB15/'Sheet 1'!AD15</f>
        <v>65743.378169121002</v>
      </c>
      <c r="W16" s="2">
        <v>16507.17465925217</v>
      </c>
      <c r="X16" s="2">
        <v>420233314304</v>
      </c>
      <c r="Y16" s="2">
        <v>25457616</v>
      </c>
      <c r="Z16" s="2">
        <v>20400000</v>
      </c>
      <c r="AA16" s="4">
        <f t="shared" si="8"/>
        <v>2121468</v>
      </c>
    </row>
    <row r="17" spans="1:27" ht="28.8" x14ac:dyDescent="0.3">
      <c r="A17" s="3" t="str">
        <f>'Sheet 1'!B16</f>
        <v>Fabricación de productos elaborados de metal, excepto maquinaria y equipo</v>
      </c>
      <c r="B17" s="2">
        <f>'Sheet 1'!AC16</f>
        <v>4039069361</v>
      </c>
      <c r="C17">
        <f>'Sheet 1'!AG16</f>
        <v>434</v>
      </c>
      <c r="D17" s="4">
        <f t="shared" si="0"/>
        <v>9306611.4308755752</v>
      </c>
      <c r="E17">
        <f>'Sheet 1'!AD16</f>
        <v>34647</v>
      </c>
      <c r="F17">
        <f>'Sheet 1'!L16</f>
        <v>27999</v>
      </c>
      <c r="G17">
        <f>'Sheet 1'!K16</f>
        <v>6648</v>
      </c>
      <c r="H17" s="5">
        <f t="shared" si="1"/>
        <v>0.80812191531734345</v>
      </c>
      <c r="I17" s="5">
        <f t="shared" si="2"/>
        <v>0.19187808468265652</v>
      </c>
      <c r="J17">
        <f>'Sheet 1'!C16+'Sheet 1'!D16</f>
        <v>4462</v>
      </c>
      <c r="K17" s="5">
        <f t="shared" si="3"/>
        <v>0.12878459895517649</v>
      </c>
      <c r="L17">
        <f>'Sheet 1'!F16+'Sheet 1'!E16</f>
        <v>23</v>
      </c>
      <c r="M17" s="7">
        <f t="shared" si="4"/>
        <v>6.6383813894420871E-4</v>
      </c>
      <c r="N17">
        <f>'Sheet 1'!G16+'Sheet 1'!H16</f>
        <v>21977</v>
      </c>
      <c r="O17" s="5">
        <f t="shared" si="5"/>
        <v>0.63431177302508157</v>
      </c>
      <c r="P17">
        <f>'Sheet 1'!I16+'Sheet 1'!J16</f>
        <v>8185</v>
      </c>
      <c r="Q17" s="5">
        <f t="shared" si="6"/>
        <v>0.23623978988079777</v>
      </c>
      <c r="R17" s="2">
        <f t="shared" si="7"/>
        <v>116577.75163794846</v>
      </c>
      <c r="S17" s="2">
        <f>'Sheet 1'!Y16/(Estructurado!J17+Estructurado!L17)</f>
        <v>55925.983723522855</v>
      </c>
      <c r="T17" s="2">
        <f>'Sheet 1'!Z16/Estructurado!N17</f>
        <v>34136.709742003004</v>
      </c>
      <c r="U17" s="2">
        <f>'Sheet 1'!AA16/Estructurado!P17</f>
        <v>78400.214416615767</v>
      </c>
      <c r="V17" s="1">
        <f>'Sheet 1'!AB16/'Sheet 1'!AD16</f>
        <v>47414.098161456983</v>
      </c>
      <c r="W17" s="2">
        <v>76325.984061479568</v>
      </c>
      <c r="X17" s="2">
        <v>1933640335360</v>
      </c>
      <c r="Y17" s="2">
        <v>25333972</v>
      </c>
      <c r="Z17" s="2">
        <v>17520000</v>
      </c>
      <c r="AA17" s="4">
        <f t="shared" si="8"/>
        <v>2111164.3333333335</v>
      </c>
    </row>
    <row r="18" spans="1:27" x14ac:dyDescent="0.3">
      <c r="A18" s="3" t="str">
        <f>'Sheet 1'!B17</f>
        <v>Fabricación de aparatos y equipo eléctrico</v>
      </c>
      <c r="B18" s="2">
        <f>'Sheet 1'!AC17</f>
        <v>4164940526</v>
      </c>
      <c r="C18">
        <f>'Sheet 1'!AG17</f>
        <v>142</v>
      </c>
      <c r="D18" s="4">
        <f t="shared" si="0"/>
        <v>29330567.084507041</v>
      </c>
      <c r="E18">
        <f>'Sheet 1'!AD17</f>
        <v>23580</v>
      </c>
      <c r="F18">
        <f>'Sheet 1'!L17</f>
        <v>17033</v>
      </c>
      <c r="G18">
        <f>'Sheet 1'!K17</f>
        <v>6547</v>
      </c>
      <c r="H18" s="5">
        <f t="shared" si="1"/>
        <v>0.72234944868532658</v>
      </c>
      <c r="I18" s="5">
        <f t="shared" si="2"/>
        <v>0.27765055131467348</v>
      </c>
      <c r="J18">
        <f>'Sheet 1'!C17+'Sheet 1'!D17</f>
        <v>3918</v>
      </c>
      <c r="K18" s="5">
        <f t="shared" si="3"/>
        <v>0.16615776081424935</v>
      </c>
      <c r="L18">
        <f>'Sheet 1'!F17+'Sheet 1'!E17</f>
        <v>26</v>
      </c>
      <c r="M18" s="7">
        <f t="shared" si="4"/>
        <v>1.1026293469041562E-3</v>
      </c>
      <c r="N18">
        <f>'Sheet 1'!G17+'Sheet 1'!H17</f>
        <v>12521</v>
      </c>
      <c r="O18" s="5">
        <f t="shared" si="5"/>
        <v>0.53100084817642068</v>
      </c>
      <c r="P18">
        <f>'Sheet 1'!I17+'Sheet 1'!J17</f>
        <v>7115</v>
      </c>
      <c r="Q18" s="5">
        <f t="shared" si="6"/>
        <v>0.3017387616624258</v>
      </c>
      <c r="R18" s="2">
        <f t="shared" si="7"/>
        <v>176630.21738761663</v>
      </c>
      <c r="S18" s="2">
        <f>'Sheet 1'!Y17/(Estructurado!J18+Estructurado!L18)</f>
        <v>78682.939401622716</v>
      </c>
      <c r="T18" s="2">
        <f>'Sheet 1'!Z17/Estructurado!N18</f>
        <v>41016.039373851927</v>
      </c>
      <c r="U18" s="2">
        <f>'Sheet 1'!AA17/Estructurado!P18</f>
        <v>99392.272803935353</v>
      </c>
      <c r="V18" s="1">
        <f>'Sheet 1'!AB17/'Sheet 1'!AD17</f>
        <v>64930.592536047501</v>
      </c>
      <c r="W18" s="2">
        <v>25539.73281955719</v>
      </c>
      <c r="X18" s="2">
        <v>778700259328</v>
      </c>
      <c r="Y18" s="2">
        <v>30489758</v>
      </c>
      <c r="Z18" s="2">
        <v>19200000</v>
      </c>
      <c r="AA18" s="4">
        <f t="shared" si="8"/>
        <v>2540813.1666666665</v>
      </c>
    </row>
    <row r="19" spans="1:27" x14ac:dyDescent="0.3">
      <c r="A19" s="3" t="str">
        <f>'Sheet 1'!B18</f>
        <v>Fabricación de maquinaria y equipo n.c.p.</v>
      </c>
      <c r="B19" s="2">
        <f>'Sheet 1'!AC18</f>
        <v>1673660110</v>
      </c>
      <c r="C19">
        <f>'Sheet 1'!AG18</f>
        <v>275</v>
      </c>
      <c r="D19" s="4">
        <f t="shared" si="0"/>
        <v>6086036.7636363637</v>
      </c>
      <c r="E19">
        <f>'Sheet 1'!AD18</f>
        <v>16841</v>
      </c>
      <c r="F19">
        <f>'Sheet 1'!L18</f>
        <v>13177</v>
      </c>
      <c r="G19">
        <f>'Sheet 1'!K18</f>
        <v>3664</v>
      </c>
      <c r="H19" s="5">
        <f t="shared" si="1"/>
        <v>0.78243572234427883</v>
      </c>
      <c r="I19" s="5">
        <f t="shared" si="2"/>
        <v>0.21756427765572114</v>
      </c>
      <c r="J19">
        <f>'Sheet 1'!C18+'Sheet 1'!D18</f>
        <v>3449</v>
      </c>
      <c r="K19" s="5">
        <f t="shared" si="3"/>
        <v>0.20479781485659995</v>
      </c>
      <c r="L19">
        <f>'Sheet 1'!F18+'Sheet 1'!E18</f>
        <v>25</v>
      </c>
      <c r="M19" s="7">
        <f t="shared" si="4"/>
        <v>1.4844724185024642E-3</v>
      </c>
      <c r="N19">
        <f>'Sheet 1'!G18+'Sheet 1'!H18</f>
        <v>8427</v>
      </c>
      <c r="O19" s="5">
        <f t="shared" si="5"/>
        <v>0.50038596282881065</v>
      </c>
      <c r="P19">
        <f>'Sheet 1'!I18+'Sheet 1'!J18</f>
        <v>4940</v>
      </c>
      <c r="Q19" s="5">
        <f t="shared" si="6"/>
        <v>0.29333174989608696</v>
      </c>
      <c r="R19" s="2">
        <f t="shared" si="7"/>
        <v>99380.090849712011</v>
      </c>
      <c r="S19" s="2">
        <f>'Sheet 1'!Y18/(Estructurado!J19+Estructurado!L19)</f>
        <v>55376.390903857224</v>
      </c>
      <c r="T19" s="2">
        <f>'Sheet 1'!Z18/Estructurado!N19</f>
        <v>34815.02622522843</v>
      </c>
      <c r="U19" s="2">
        <f>'Sheet 1'!AA18/Estructurado!P19</f>
        <v>76446.975910931171</v>
      </c>
      <c r="V19" s="1">
        <f>'Sheet 1'!AB18/'Sheet 1'!AD18</f>
        <v>51268.443976010924</v>
      </c>
      <c r="W19" s="2">
        <v>17297.38198184967</v>
      </c>
      <c r="X19" s="2">
        <v>528142041088</v>
      </c>
      <c r="Y19" s="2">
        <v>30533062</v>
      </c>
      <c r="Z19" s="2">
        <v>21600000</v>
      </c>
      <c r="AA19" s="4">
        <f t="shared" si="8"/>
        <v>2544421.8333333335</v>
      </c>
    </row>
    <row r="20" spans="1:27" ht="28.8" x14ac:dyDescent="0.3">
      <c r="A20" s="3" t="str">
        <f>'Sheet 1'!B19</f>
        <v>Fabricación de vehículos automotores, remolques y semirremolques</v>
      </c>
      <c r="B20" s="2">
        <f>'Sheet 1'!AC19</f>
        <v>778514487</v>
      </c>
      <c r="C20">
        <f>'Sheet 1'!AG19</f>
        <v>112</v>
      </c>
      <c r="D20" s="4">
        <f t="shared" si="0"/>
        <v>6951022.2053571427</v>
      </c>
      <c r="E20">
        <f>'Sheet 1'!AD19</f>
        <v>10463</v>
      </c>
      <c r="F20">
        <f>'Sheet 1'!L19</f>
        <v>7821</v>
      </c>
      <c r="G20">
        <f>'Sheet 1'!K19</f>
        <v>2642</v>
      </c>
      <c r="H20" s="5">
        <f t="shared" si="1"/>
        <v>0.74749115932332988</v>
      </c>
      <c r="I20" s="5">
        <f t="shared" si="2"/>
        <v>0.25250884067667018</v>
      </c>
      <c r="J20">
        <f>'Sheet 1'!C19+'Sheet 1'!D19</f>
        <v>1515</v>
      </c>
      <c r="K20" s="5">
        <f t="shared" si="3"/>
        <v>0.14479594762496417</v>
      </c>
      <c r="L20">
        <f>'Sheet 1'!F19+'Sheet 1'!E19</f>
        <v>13</v>
      </c>
      <c r="M20" s="7">
        <f t="shared" si="4"/>
        <v>1.2424734779699896E-3</v>
      </c>
      <c r="N20">
        <f>'Sheet 1'!G19+'Sheet 1'!H19</f>
        <v>7110</v>
      </c>
      <c r="O20" s="5">
        <f t="shared" si="5"/>
        <v>0.67953741756666353</v>
      </c>
      <c r="P20">
        <f>'Sheet 1'!I19+'Sheet 1'!J19</f>
        <v>1825</v>
      </c>
      <c r="Q20" s="5">
        <f t="shared" si="6"/>
        <v>0.17442416133040237</v>
      </c>
      <c r="R20" s="2">
        <f t="shared" si="7"/>
        <v>74406.430947147092</v>
      </c>
      <c r="S20" s="2">
        <f>'Sheet 1'!Y19/(Estructurado!J20+Estructurado!L20)</f>
        <v>51782.628272251306</v>
      </c>
      <c r="T20" s="2">
        <f>'Sheet 1'!Z19/Estructurado!N20</f>
        <v>34573.440365682138</v>
      </c>
      <c r="U20" s="2">
        <f>'Sheet 1'!AA19/Estructurado!P20</f>
        <v>77064.286027397262</v>
      </c>
      <c r="V20" s="1">
        <f>'Sheet 1'!AB19/'Sheet 1'!AD19</f>
        <v>44498.073401510082</v>
      </c>
      <c r="W20" s="2">
        <v>19541.168630599979</v>
      </c>
      <c r="X20" s="2">
        <v>499135021056</v>
      </c>
      <c r="Y20" s="2">
        <v>25542742</v>
      </c>
      <c r="Z20" s="2">
        <v>19800000</v>
      </c>
      <c r="AA20" s="4">
        <f t="shared" si="8"/>
        <v>2128561.8333333335</v>
      </c>
    </row>
    <row r="21" spans="1:27" x14ac:dyDescent="0.3">
      <c r="A21" s="3" t="str">
        <f>'Sheet 1'!B20</f>
        <v>Fabricación de otros tipos de equipo de transporte</v>
      </c>
      <c r="B21" s="2">
        <f>'Sheet 1'!AC20</f>
        <v>1226916083</v>
      </c>
      <c r="C21">
        <f>'Sheet 1'!AG20</f>
        <v>32</v>
      </c>
      <c r="D21" s="4">
        <f t="shared" si="0"/>
        <v>38341127.59375</v>
      </c>
      <c r="E21">
        <f>'Sheet 1'!AD20</f>
        <v>6880</v>
      </c>
      <c r="F21">
        <f>'Sheet 1'!L20</f>
        <v>5298</v>
      </c>
      <c r="G21">
        <f>'Sheet 1'!K20</f>
        <v>1582</v>
      </c>
      <c r="H21" s="5">
        <f t="shared" si="1"/>
        <v>0.77005813953488367</v>
      </c>
      <c r="I21" s="5">
        <f t="shared" si="2"/>
        <v>0.22994186046511628</v>
      </c>
      <c r="J21">
        <f>'Sheet 1'!C20+'Sheet 1'!D20</f>
        <v>1020</v>
      </c>
      <c r="K21" s="5">
        <f t="shared" si="3"/>
        <v>0.14825581395348839</v>
      </c>
      <c r="L21">
        <f>'Sheet 1'!F20+'Sheet 1'!E20</f>
        <v>2</v>
      </c>
      <c r="M21" s="7">
        <f t="shared" si="4"/>
        <v>2.9069767441860465E-4</v>
      </c>
      <c r="N21">
        <f>'Sheet 1'!G20+'Sheet 1'!H20</f>
        <v>3549</v>
      </c>
      <c r="O21" s="5">
        <f t="shared" si="5"/>
        <v>0.51584302325581399</v>
      </c>
      <c r="P21">
        <f>'Sheet 1'!I20+'Sheet 1'!J20</f>
        <v>2309</v>
      </c>
      <c r="Q21" s="5">
        <f t="shared" si="6"/>
        <v>0.33561046511627907</v>
      </c>
      <c r="R21" s="2">
        <f t="shared" si="7"/>
        <v>178330.82601744187</v>
      </c>
      <c r="S21" s="2">
        <f>'Sheet 1'!Y20/(Estructurado!J21+Estructurado!L21)</f>
        <v>53935.54109589041</v>
      </c>
      <c r="T21" s="2">
        <f>'Sheet 1'!Z20/Estructurado!N21</f>
        <v>32285.222316145395</v>
      </c>
      <c r="U21" s="2">
        <f>'Sheet 1'!AA20/Estructurado!P21</f>
        <v>81563.8328280641</v>
      </c>
      <c r="V21" s="1">
        <f>'Sheet 1'!AB20/'Sheet 1'!AD20</f>
        <v>52039.719040697673</v>
      </c>
      <c r="W21" s="2">
        <v>8611.7141191959381</v>
      </c>
      <c r="X21" s="2">
        <v>200755527680</v>
      </c>
      <c r="Y21" s="2">
        <v>23311912</v>
      </c>
      <c r="Z21" s="2">
        <v>18600000</v>
      </c>
      <c r="AA21" s="4">
        <f t="shared" si="8"/>
        <v>1942659.3333333333</v>
      </c>
    </row>
    <row r="22" spans="1:27" x14ac:dyDescent="0.3">
      <c r="A22" s="3" t="str">
        <f>'Sheet 1'!B21</f>
        <v>Fabricación de muebles, colchones y somieres</v>
      </c>
      <c r="B22" s="2">
        <f>'Sheet 1'!AC21</f>
        <v>1596628479</v>
      </c>
      <c r="C22">
        <f>'Sheet 1'!AG21</f>
        <v>227</v>
      </c>
      <c r="D22" s="4">
        <f t="shared" si="0"/>
        <v>7033605.6343612336</v>
      </c>
      <c r="E22">
        <f>'Sheet 1'!AD21</f>
        <v>17096</v>
      </c>
      <c r="F22">
        <f>'Sheet 1'!L21</f>
        <v>12168</v>
      </c>
      <c r="G22">
        <f>'Sheet 1'!K21</f>
        <v>4928</v>
      </c>
      <c r="H22" s="5">
        <f t="shared" si="1"/>
        <v>0.71174543752924657</v>
      </c>
      <c r="I22" s="5">
        <f t="shared" si="2"/>
        <v>0.28825456247075337</v>
      </c>
      <c r="J22">
        <f>'Sheet 1'!C21+'Sheet 1'!D21</f>
        <v>1774</v>
      </c>
      <c r="K22" s="5">
        <f t="shared" si="3"/>
        <v>0.10376696303228826</v>
      </c>
      <c r="L22">
        <f>'Sheet 1'!F21+'Sheet 1'!E21</f>
        <v>16</v>
      </c>
      <c r="M22" s="7">
        <f t="shared" si="4"/>
        <v>9.3589143659335522E-4</v>
      </c>
      <c r="N22">
        <f>'Sheet 1'!G21+'Sheet 1'!H21</f>
        <v>10033</v>
      </c>
      <c r="O22" s="5">
        <f t="shared" si="5"/>
        <v>0.58686242395882082</v>
      </c>
      <c r="P22">
        <f>'Sheet 1'!I21+'Sheet 1'!J21</f>
        <v>5273</v>
      </c>
      <c r="Q22" s="5">
        <f t="shared" si="6"/>
        <v>0.30843472157229762</v>
      </c>
      <c r="R22" s="2">
        <f t="shared" si="7"/>
        <v>93391.932557323351</v>
      </c>
      <c r="S22" s="2">
        <f>'Sheet 1'!Y21/(Estructurado!J22+Estructurado!L22)</f>
        <v>48610.917877094973</v>
      </c>
      <c r="T22" s="2">
        <f>'Sheet 1'!Z21/Estructurado!N22</f>
        <v>31952.443636001197</v>
      </c>
      <c r="U22" s="2">
        <f>'Sheet 1'!AA21/Estructurado!P22</f>
        <v>60515.475251280106</v>
      </c>
      <c r="V22" s="1">
        <f>'Sheet 1'!AB21/'Sheet 1'!AD21</f>
        <v>42506.463968179691</v>
      </c>
      <c r="W22" s="2">
        <v>39759.545756340027</v>
      </c>
      <c r="X22" s="2">
        <v>924450881536</v>
      </c>
      <c r="Y22" s="2">
        <v>23251042</v>
      </c>
      <c r="Z22" s="2">
        <v>15600000</v>
      </c>
      <c r="AA22" s="4">
        <f t="shared" si="8"/>
        <v>1937586.8333333333</v>
      </c>
    </row>
    <row r="23" spans="1:27" x14ac:dyDescent="0.3">
      <c r="A23" s="3" t="str">
        <f>'Sheet 1'!B22</f>
        <v>Otras industrias manufactureras</v>
      </c>
      <c r="B23" s="2">
        <f>'Sheet 1'!AC22</f>
        <v>16290782103</v>
      </c>
      <c r="C23">
        <f>'Sheet 1'!AG22</f>
        <v>604</v>
      </c>
      <c r="D23" s="4">
        <f t="shared" si="0"/>
        <v>26971493.548013244</v>
      </c>
      <c r="E23">
        <f>'Sheet 1'!AD22</f>
        <v>59219</v>
      </c>
      <c r="F23">
        <f>'Sheet 1'!L22</f>
        <v>40451</v>
      </c>
      <c r="G23">
        <f>'Sheet 1'!K22</f>
        <v>18768</v>
      </c>
      <c r="H23" s="5">
        <f t="shared" si="1"/>
        <v>0.68307468886674882</v>
      </c>
      <c r="I23" s="5">
        <f t="shared" si="2"/>
        <v>0.31692531113325118</v>
      </c>
      <c r="J23">
        <f>'Sheet 1'!C22+'Sheet 1'!D22</f>
        <v>13240</v>
      </c>
      <c r="K23" s="5">
        <f t="shared" si="3"/>
        <v>0.22357689255137708</v>
      </c>
      <c r="L23">
        <f>'Sheet 1'!F22+'Sheet 1'!E22</f>
        <v>84</v>
      </c>
      <c r="M23" s="7">
        <f t="shared" si="4"/>
        <v>1.4184636687549605E-3</v>
      </c>
      <c r="N23">
        <f>'Sheet 1'!G22+'Sheet 1'!H22</f>
        <v>30963</v>
      </c>
      <c r="O23" s="5">
        <f t="shared" si="5"/>
        <v>0.52285584018642661</v>
      </c>
      <c r="P23">
        <f>'Sheet 1'!I22+'Sheet 1'!J22</f>
        <v>14932</v>
      </c>
      <c r="Q23" s="5">
        <f t="shared" si="6"/>
        <v>0.25214880359344127</v>
      </c>
      <c r="R23" s="2">
        <f t="shared" si="7"/>
        <v>275093.83986558369</v>
      </c>
      <c r="S23" s="2">
        <f>'Sheet 1'!Y22/(Estructurado!J23+Estructurado!L23)</f>
        <v>86759.307039927953</v>
      </c>
      <c r="T23" s="2">
        <f>'Sheet 1'!Z22/Estructurado!N23</f>
        <v>44423.300778348348</v>
      </c>
      <c r="U23" s="2">
        <f>'Sheet 1'!AA22/Estructurado!P23</f>
        <v>79599.441066166619</v>
      </c>
      <c r="V23" s="1">
        <f>'Sheet 1'!AB22/'Sheet 1'!AD22</f>
        <v>62818.327276718621</v>
      </c>
      <c r="W23" s="2">
        <v>29384.831278324131</v>
      </c>
      <c r="X23" s="2">
        <v>842796105728</v>
      </c>
      <c r="Y23" s="2">
        <v>28681332</v>
      </c>
      <c r="Z23" s="2">
        <v>17760000</v>
      </c>
      <c r="AA23" s="4">
        <f t="shared" si="8"/>
        <v>2390111</v>
      </c>
    </row>
    <row r="24" spans="1:27" x14ac:dyDescent="0.3">
      <c r="Y24" s="4"/>
    </row>
  </sheetData>
  <mergeCells count="2">
    <mergeCell ref="B1:V1"/>
    <mergeCell ref="W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Estructurado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Doris Adriana Osorio Barrios</cp:lastModifiedBy>
  <dcterms:created xsi:type="dcterms:W3CDTF">2026-04-26T01:01:21Z</dcterms:created>
  <dcterms:modified xsi:type="dcterms:W3CDTF">2026-04-27T00:27:38Z</dcterms:modified>
</cp:coreProperties>
</file>